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01. MERCHANDISE RECEIVED\02. PURCHASES\"/>
    </mc:Choice>
  </mc:AlternateContent>
  <xr:revisionPtr revIDLastSave="0" documentId="13_ncr:1_{8AEF6D1D-55B4-4BB3-B2EF-A41389EFFDBC}" xr6:coauthVersionLast="47" xr6:coauthVersionMax="47" xr10:uidLastSave="{00000000-0000-0000-0000-000000000000}"/>
  <bookViews>
    <workbookView xWindow="-120" yWindow="-120" windowWidth="29040" windowHeight="15840" tabRatio="599" activeTab="8" xr2:uid="{CA02DB9F-56AA-47D8-ABD1-6E8ACADDC589}"/>
  </bookViews>
  <sheets>
    <sheet name="2026 YTD" sheetId="15" r:id="rId1"/>
    <sheet name="JAN 26" sheetId="2" r:id="rId2"/>
    <sheet name="FEB 26" sheetId="24" r:id="rId3"/>
    <sheet name="MAR 26" sheetId="25" r:id="rId4"/>
    <sheet name="APR 26" sheetId="26" r:id="rId5"/>
    <sheet name="MAY 26" sheetId="27" r:id="rId6"/>
    <sheet name="JUN 26" sheetId="28" r:id="rId7"/>
    <sheet name="JUL 26" sheetId="29" r:id="rId8"/>
    <sheet name="AUG 26" sheetId="30" r:id="rId9"/>
    <sheet name="SEPT 25" sheetId="31" r:id="rId10"/>
    <sheet name="OCT 25" sheetId="32" r:id="rId11"/>
    <sheet name="NOV 25" sheetId="33" r:id="rId12"/>
    <sheet name="DEC 25" sheetId="34" r:id="rId13"/>
    <sheet name="TRANSMITTAL" sheetId="23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'2026 YTD'!$A$7:$J$57</definedName>
    <definedName name="DRPROD">[1]Sheet2!$C$4:$C$102</definedName>
    <definedName name="j">#REF!</definedName>
    <definedName name="PPROD10">[2]PROD10!$B$5:$C$77</definedName>
    <definedName name="PRICE2018">[3]PROD2!$B$5:$C$67</definedName>
    <definedName name="PRICEMAY2018">[3]PROD3!$B$5:$C$69</definedName>
    <definedName name="_xlnm.Print_Area" localSheetId="0">'2026 YTD'!$A$1:$J$216</definedName>
    <definedName name="_xlnm.Print_Area" localSheetId="4">'APR 26'!$B$1:$K$34,'APR 26'!$B$38:$K$53</definedName>
    <definedName name="_xlnm.Print_Area" localSheetId="8">'AUG 26'!$B$1:$K$32,'AUG 26'!$B$36:$K$54</definedName>
    <definedName name="_xlnm.Print_Area" localSheetId="12">'DEC 25'!$B$1:$K$44,'DEC 25'!$B$48:$K$67</definedName>
    <definedName name="_xlnm.Print_Area" localSheetId="2">'FEB 26'!$B$1:$K$28,'FEB 26'!$B$32:$K$51</definedName>
    <definedName name="_xlnm.Print_Area" localSheetId="1">'JAN 26'!$B$1:$K$28,'JAN 26'!$B$32:$K$47</definedName>
    <definedName name="_xlnm.Print_Area" localSheetId="7">'JUL 26'!$B$1:$K$30,'JUL 26'!$B$34:$K$51</definedName>
    <definedName name="_xlnm.Print_Area" localSheetId="6">'JUN 26'!$B$1:$K$39,'JUN 26'!$B$43:$K$59</definedName>
    <definedName name="_xlnm.Print_Area" localSheetId="3">'MAR 26'!$M$3:$S$19</definedName>
    <definedName name="_xlnm.Print_Area" localSheetId="5">'MAY 26'!$B$1:$K$30,'MAY 26'!$B$34:$K$50</definedName>
    <definedName name="_xlnm.Print_Area" localSheetId="11">'NOV 25'!$B$1:$K$40,'NOV 25'!$B$44:$K$62</definedName>
    <definedName name="_xlnm.Print_Area" localSheetId="10">'OCT 25'!$B$1:$K$25,'OCT 25'!$B$29:$K$46</definedName>
    <definedName name="_xlnm.Print_Area" localSheetId="9">'SEPT 25'!$B$1:$K$40,'SEPT 25'!$B$44:$K$62</definedName>
    <definedName name="PROD">[3]PRO!$B$5:$C$66</definedName>
    <definedName name="PROD4">[3]PROD4!$B$5:$C$71</definedName>
    <definedName name="PROD5">[4]PROD4!$B$5:$C$71</definedName>
    <definedName name="PROD6">[3]PROD6!$B$5:$C$71</definedName>
    <definedName name="PROD9">#REF!</definedName>
    <definedName name="PRODUCT">'[3]JULY 2016 (3)'!$B$222:$C$274</definedName>
    <definedName name="PRODUCT2">'[5]JULY 2016 (3)'!$B$222:$C$274</definedName>
    <definedName name="PRODUCT3">'[3]FEB 2017 P'!$B$232:$C$285</definedName>
    <definedName name="Products2">'[3]OCT 2016 P'!$B$201:$C$254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30" l="1"/>
  <c r="J16" i="30"/>
  <c r="J15" i="30"/>
  <c r="J14" i="30"/>
  <c r="J46" i="29"/>
  <c r="S12" i="29"/>
  <c r="T12" i="29" s="1"/>
  <c r="U12" i="29" s="1"/>
  <c r="S10" i="29"/>
  <c r="T10" i="29" s="1"/>
  <c r="U10" i="29" s="1"/>
  <c r="J23" i="29"/>
  <c r="J22" i="29"/>
  <c r="K23" i="29" s="1"/>
  <c r="K7" i="30" l="1"/>
  <c r="J14" i="29"/>
  <c r="J13" i="29"/>
  <c r="J12" i="29"/>
  <c r="J11" i="29"/>
  <c r="J10" i="29"/>
  <c r="J9" i="29"/>
  <c r="J43" i="29"/>
  <c r="J42" i="29"/>
  <c r="K43" i="29" s="1"/>
  <c r="S22" i="28"/>
  <c r="J30" i="28" l="1"/>
  <c r="J29" i="28"/>
  <c r="J28" i="28"/>
  <c r="J32" i="28"/>
  <c r="J31" i="28"/>
  <c r="J27" i="28"/>
  <c r="J26" i="28"/>
  <c r="J12" i="28"/>
  <c r="K12" i="28" s="1"/>
  <c r="J10" i="28"/>
  <c r="J9" i="28"/>
  <c r="J8" i="28"/>
  <c r="J7" i="28"/>
  <c r="K32" i="28" l="1"/>
  <c r="K10" i="28"/>
  <c r="K51" i="28" l="1"/>
  <c r="J15" i="27"/>
  <c r="K15" i="27" s="1"/>
  <c r="J13" i="27"/>
  <c r="K13" i="27" s="1"/>
  <c r="J11" i="27"/>
  <c r="K11" i="27" s="1"/>
  <c r="J26" i="26"/>
  <c r="R11" i="26"/>
  <c r="S11" i="26" s="1"/>
  <c r="T11" i="26" s="1"/>
  <c r="J27" i="26"/>
  <c r="J25" i="26"/>
  <c r="K27" i="26" l="1"/>
  <c r="J20" i="26"/>
  <c r="K20" i="26" s="1"/>
  <c r="J23" i="26"/>
  <c r="J22" i="26"/>
  <c r="J18" i="26"/>
  <c r="K18" i="26" s="1"/>
  <c r="J12" i="26"/>
  <c r="J11" i="26"/>
  <c r="J10" i="26"/>
  <c r="J45" i="26"/>
  <c r="J44" i="26"/>
  <c r="K45" i="26" l="1"/>
  <c r="K23" i="26"/>
  <c r="J17" i="25"/>
  <c r="J16" i="25"/>
  <c r="J15" i="25"/>
  <c r="J19" i="24"/>
  <c r="Y10" i="24"/>
  <c r="Y12" i="24" s="1"/>
  <c r="Z8" i="24"/>
  <c r="Z10" i="24" s="1"/>
  <c r="J21" i="24"/>
  <c r="K21" i="24" s="1"/>
  <c r="K19" i="24"/>
  <c r="J17" i="24"/>
  <c r="J16" i="24"/>
  <c r="J14" i="24"/>
  <c r="J13" i="24"/>
  <c r="K14" i="24" l="1"/>
  <c r="AA8" i="24"/>
  <c r="AB8" i="24" s="1"/>
  <c r="AB10" i="24" s="1"/>
  <c r="AA10" i="24"/>
  <c r="K17" i="24"/>
  <c r="P12" i="2"/>
  <c r="P14" i="2" s="1"/>
  <c r="Q10" i="2"/>
  <c r="Q8" i="2"/>
  <c r="R8" i="2" s="1"/>
  <c r="Q12" i="2" l="1"/>
  <c r="S8" i="2"/>
  <c r="R10" i="2"/>
  <c r="S10" i="2" s="1"/>
  <c r="S12" i="2" l="1"/>
  <c r="R12" i="2"/>
  <c r="J38" i="2" l="1"/>
  <c r="Q12" i="34"/>
  <c r="Q14" i="34" s="1"/>
  <c r="Q16" i="34" s="1"/>
  <c r="R10" i="34"/>
  <c r="S10" i="34" s="1"/>
  <c r="R8" i="34"/>
  <c r="R12" i="34" s="1"/>
  <c r="S8" i="34" l="1"/>
  <c r="T8" i="34" s="1"/>
  <c r="T10" i="34"/>
  <c r="T12" i="34" l="1"/>
  <c r="S12" i="34"/>
  <c r="J52" i="33"/>
  <c r="J33" i="33" l="1"/>
  <c r="J32" i="33"/>
  <c r="J26" i="33"/>
  <c r="K26" i="33" s="1"/>
  <c r="R12" i="33"/>
  <c r="S10" i="33"/>
  <c r="T10" i="33" s="1"/>
  <c r="U10" i="33" s="1"/>
  <c r="S8" i="33"/>
  <c r="R14" i="33" l="1"/>
  <c r="R16" i="33" s="1"/>
  <c r="K33" i="33"/>
  <c r="S12" i="33"/>
  <c r="T8" i="33"/>
  <c r="T12" i="33" s="1"/>
  <c r="U8" i="33" l="1"/>
  <c r="U12" i="33" s="1"/>
  <c r="J54" i="33" l="1"/>
  <c r="J23" i="33" l="1"/>
  <c r="J22" i="33"/>
  <c r="J21" i="33"/>
  <c r="J20" i="33"/>
  <c r="J16" i="33"/>
  <c r="J15" i="33"/>
  <c r="J14" i="33"/>
  <c r="J13" i="33"/>
  <c r="J12" i="33"/>
  <c r="J11" i="33"/>
  <c r="R13" i="32"/>
  <c r="R15" i="32" s="1"/>
  <c r="R17" i="32" s="1"/>
  <c r="S8" i="32"/>
  <c r="T8" i="32" s="1"/>
  <c r="S13" i="32" l="1"/>
  <c r="T13" i="32"/>
  <c r="U8" i="32"/>
  <c r="U13" i="32" s="1"/>
  <c r="J18" i="32" l="1"/>
  <c r="K18" i="32" s="1"/>
  <c r="J35" i="32"/>
  <c r="J7" i="32"/>
  <c r="S13" i="31" l="1"/>
  <c r="S15" i="31" s="1"/>
  <c r="S17" i="31" s="1"/>
  <c r="T8" i="31"/>
  <c r="T13" i="31" s="1"/>
  <c r="R13" i="30"/>
  <c r="R15" i="30" s="1"/>
  <c r="R17" i="30" s="1"/>
  <c r="S10" i="30"/>
  <c r="T10" i="30" s="1"/>
  <c r="U10" i="30" s="1"/>
  <c r="S8" i="30"/>
  <c r="S13" i="30" s="1"/>
  <c r="U8" i="31" l="1"/>
  <c r="T8" i="30"/>
  <c r="T13" i="30" s="1"/>
  <c r="U13" i="31" l="1"/>
  <c r="V8" i="31"/>
  <c r="V13" i="31" s="1"/>
  <c r="U8" i="30"/>
  <c r="U13" i="30" s="1"/>
  <c r="R16" i="29" l="1"/>
  <c r="S8" i="29"/>
  <c r="T8" i="29" s="1"/>
  <c r="R18" i="29" l="1"/>
  <c r="R20" i="29" s="1"/>
  <c r="U8" i="29"/>
  <c r="U16" i="29" s="1"/>
  <c r="T16" i="29"/>
  <c r="S16" i="29"/>
  <c r="T18" i="28" l="1"/>
  <c r="U18" i="28" s="1"/>
  <c r="V18" i="28" s="1"/>
  <c r="T16" i="28"/>
  <c r="U16" i="28" s="1"/>
  <c r="V16" i="28" s="1"/>
  <c r="T14" i="28"/>
  <c r="U14" i="28" s="1"/>
  <c r="V14" i="28" s="1"/>
  <c r="J22" i="28" l="1"/>
  <c r="J21" i="28"/>
  <c r="J20" i="28"/>
  <c r="J19" i="28"/>
  <c r="S20" i="28"/>
  <c r="S24" i="28" s="1"/>
  <c r="T12" i="28"/>
  <c r="U12" i="28" s="1"/>
  <c r="V12" i="28" s="1"/>
  <c r="T10" i="28"/>
  <c r="U10" i="28" s="1"/>
  <c r="V10" i="28" s="1"/>
  <c r="T8" i="28"/>
  <c r="U8" i="28" l="1"/>
  <c r="U20" i="28" s="1"/>
  <c r="T20" i="28"/>
  <c r="K22" i="28"/>
  <c r="V8" i="28" l="1"/>
  <c r="V20" i="28" s="1"/>
  <c r="V12" i="27"/>
  <c r="W12" i="27" s="1"/>
  <c r="X12" i="27" s="1"/>
  <c r="U16" i="27"/>
  <c r="U18" i="27" s="1"/>
  <c r="U20" i="27" s="1"/>
  <c r="V10" i="27"/>
  <c r="V8" i="27"/>
  <c r="W8" i="27" s="1"/>
  <c r="O47" i="27"/>
  <c r="O8" i="27"/>
  <c r="V16" i="27" l="1"/>
  <c r="X8" i="27"/>
  <c r="W10" i="27"/>
  <c r="X10" i="27" s="1"/>
  <c r="J16" i="28"/>
  <c r="J42" i="27"/>
  <c r="K42" i="27" s="1"/>
  <c r="J19" i="27"/>
  <c r="J18" i="27"/>
  <c r="X16" i="27" l="1"/>
  <c r="W16" i="27"/>
  <c r="J40" i="27" l="1"/>
  <c r="J44" i="27" s="1"/>
  <c r="J7" i="27"/>
  <c r="R7" i="26"/>
  <c r="Q14" i="26"/>
  <c r="Q16" i="26" s="1"/>
  <c r="Q18" i="26" s="1"/>
  <c r="R9" i="26"/>
  <c r="S9" i="26" s="1"/>
  <c r="T9" i="26" s="1"/>
  <c r="K7" i="27" l="1"/>
  <c r="R14" i="26"/>
  <c r="S7" i="26"/>
  <c r="T7" i="26" s="1"/>
  <c r="J16" i="26"/>
  <c r="J15" i="26"/>
  <c r="J13" i="26"/>
  <c r="J9" i="26"/>
  <c r="P18" i="25"/>
  <c r="Q16" i="25"/>
  <c r="R16" i="25" s="1"/>
  <c r="S16" i="25" s="1"/>
  <c r="Q13" i="25"/>
  <c r="R13" i="25" s="1"/>
  <c r="S13" i="25" s="1"/>
  <c r="Q10" i="25"/>
  <c r="R10" i="25" s="1"/>
  <c r="S10" i="25" s="1"/>
  <c r="Q7" i="25"/>
  <c r="Q18" i="25" l="1"/>
  <c r="Q20" i="25"/>
  <c r="Q22" i="25" s="1"/>
  <c r="K13" i="26"/>
  <c r="M50" i="26" s="1"/>
  <c r="K16" i="26"/>
  <c r="T14" i="26"/>
  <c r="S14" i="26"/>
  <c r="R7" i="25"/>
  <c r="R18" i="25" s="1"/>
  <c r="J22" i="25"/>
  <c r="J20" i="25"/>
  <c r="S7" i="25" l="1"/>
  <c r="S18" i="25" s="1"/>
  <c r="K22" i="25"/>
  <c r="K20" i="25"/>
  <c r="J12" i="25" l="1"/>
  <c r="K12" i="25" s="1"/>
  <c r="J10" i="25"/>
  <c r="K10" i="25" s="1"/>
  <c r="J8" i="25"/>
  <c r="J7" i="25"/>
  <c r="K8" i="25" l="1"/>
  <c r="O8" i="24"/>
  <c r="O37" i="24"/>
  <c r="J39" i="24"/>
  <c r="J7" i="24"/>
  <c r="J38" i="24"/>
  <c r="J43" i="24"/>
  <c r="K43" i="24" s="1"/>
  <c r="J41" i="24"/>
  <c r="K7" i="24" l="1"/>
  <c r="M43" i="24"/>
  <c r="N43" i="24" s="1"/>
  <c r="K41" i="24"/>
  <c r="K39" i="24"/>
  <c r="P43" i="24" l="1"/>
  <c r="Q43" i="24" s="1"/>
  <c r="R43" i="24" s="1"/>
  <c r="S43" i="24" s="1"/>
  <c r="M41" i="24"/>
  <c r="N41" i="24" s="1"/>
  <c r="M39" i="24"/>
  <c r="K45" i="24"/>
  <c r="J9" i="24"/>
  <c r="J11" i="24"/>
  <c r="M200" i="15"/>
  <c r="L200" i="15"/>
  <c r="J23" i="24" l="1"/>
  <c r="K9" i="24"/>
  <c r="Y13" i="24" s="1"/>
  <c r="Y14" i="24" s="1"/>
  <c r="P41" i="24"/>
  <c r="Q41" i="24" s="1"/>
  <c r="R41" i="24" s="1"/>
  <c r="S41" i="24" s="1"/>
  <c r="N39" i="24"/>
  <c r="P39" i="24"/>
  <c r="K11" i="24"/>
  <c r="T35" i="15"/>
  <c r="K8" i="15"/>
  <c r="K9" i="15"/>
  <c r="L9" i="15" s="1"/>
  <c r="K10" i="15"/>
  <c r="L10" i="15" s="1"/>
  <c r="K11" i="15"/>
  <c r="L11" i="15" s="1"/>
  <c r="K12" i="15"/>
  <c r="L12" i="15" s="1"/>
  <c r="K13" i="15"/>
  <c r="L13" i="15" s="1"/>
  <c r="K14" i="15"/>
  <c r="L14" i="15" s="1"/>
  <c r="K15" i="15"/>
  <c r="L15" i="15" s="1"/>
  <c r="K16" i="15"/>
  <c r="L16" i="15" s="1"/>
  <c r="K17" i="15"/>
  <c r="L17" i="15" s="1"/>
  <c r="K18" i="15"/>
  <c r="L18" i="15" s="1"/>
  <c r="K19" i="15"/>
  <c r="L19" i="15" s="1"/>
  <c r="K20" i="15"/>
  <c r="L20" i="15" s="1"/>
  <c r="K21" i="15"/>
  <c r="L21" i="15" s="1"/>
  <c r="K22" i="15"/>
  <c r="L22" i="15" s="1"/>
  <c r="K23" i="15"/>
  <c r="L23" i="15" s="1"/>
  <c r="K24" i="15"/>
  <c r="L24" i="15" s="1"/>
  <c r="K25" i="15"/>
  <c r="L25" i="15" s="1"/>
  <c r="K26" i="15"/>
  <c r="L26" i="15" s="1"/>
  <c r="K27" i="15"/>
  <c r="L27" i="15" s="1"/>
  <c r="K28" i="15"/>
  <c r="L28" i="15" s="1"/>
  <c r="K29" i="15"/>
  <c r="L29" i="15" s="1"/>
  <c r="K30" i="15"/>
  <c r="L30" i="15" s="1"/>
  <c r="K31" i="15"/>
  <c r="L31" i="15" s="1"/>
  <c r="K32" i="15"/>
  <c r="L32" i="15" s="1"/>
  <c r="K33" i="15"/>
  <c r="L33" i="15" s="1"/>
  <c r="K34" i="15"/>
  <c r="L34" i="15" s="1"/>
  <c r="K35" i="15"/>
  <c r="L35" i="15" s="1"/>
  <c r="K36" i="15"/>
  <c r="L36" i="15" s="1"/>
  <c r="K37" i="15"/>
  <c r="L37" i="15" s="1"/>
  <c r="K38" i="15"/>
  <c r="L38" i="15" s="1"/>
  <c r="K39" i="15"/>
  <c r="L39" i="15" s="1"/>
  <c r="K40" i="15"/>
  <c r="L40" i="15" s="1"/>
  <c r="K41" i="15"/>
  <c r="L41" i="15" s="1"/>
  <c r="K42" i="15"/>
  <c r="L42" i="15" s="1"/>
  <c r="K43" i="15"/>
  <c r="L43" i="15" s="1"/>
  <c r="K44" i="15"/>
  <c r="L44" i="15" s="1"/>
  <c r="K45" i="15"/>
  <c r="L45" i="15" s="1"/>
  <c r="K46" i="15"/>
  <c r="L46" i="15" s="1"/>
  <c r="K47" i="15"/>
  <c r="L47" i="15" s="1"/>
  <c r="K48" i="15"/>
  <c r="L48" i="15" s="1"/>
  <c r="K49" i="15"/>
  <c r="L49" i="15" s="1"/>
  <c r="K50" i="15"/>
  <c r="L50" i="15" s="1"/>
  <c r="K51" i="15"/>
  <c r="L51" i="15" s="1"/>
  <c r="K52" i="15"/>
  <c r="L52" i="15" s="1"/>
  <c r="K53" i="15"/>
  <c r="L53" i="15" s="1"/>
  <c r="K54" i="15"/>
  <c r="L54" i="15" s="1"/>
  <c r="K55" i="15"/>
  <c r="L55" i="15" s="1"/>
  <c r="K56" i="15"/>
  <c r="L56" i="15" s="1"/>
  <c r="K57" i="15"/>
  <c r="L57" i="15" s="1"/>
  <c r="K58" i="15"/>
  <c r="L58" i="15" s="1"/>
  <c r="K59" i="15"/>
  <c r="L59" i="15" s="1"/>
  <c r="K60" i="15"/>
  <c r="L60" i="15" s="1"/>
  <c r="K61" i="15"/>
  <c r="L61" i="15" s="1"/>
  <c r="K62" i="15"/>
  <c r="L62" i="15" s="1"/>
  <c r="K63" i="15"/>
  <c r="L63" i="15" s="1"/>
  <c r="K64" i="15"/>
  <c r="L64" i="15" s="1"/>
  <c r="K65" i="15"/>
  <c r="L65" i="15" s="1"/>
  <c r="K66" i="15"/>
  <c r="L66" i="15" s="1"/>
  <c r="K67" i="15"/>
  <c r="L67" i="15" s="1"/>
  <c r="K68" i="15"/>
  <c r="L68" i="15" s="1"/>
  <c r="K69" i="15"/>
  <c r="L69" i="15" s="1"/>
  <c r="K70" i="15"/>
  <c r="L70" i="15" s="1"/>
  <c r="K71" i="15"/>
  <c r="L71" i="15" s="1"/>
  <c r="K72" i="15"/>
  <c r="L72" i="15" s="1"/>
  <c r="K73" i="15"/>
  <c r="L73" i="15" s="1"/>
  <c r="K74" i="15"/>
  <c r="L74" i="15" s="1"/>
  <c r="K75" i="15"/>
  <c r="L75" i="15" s="1"/>
  <c r="K76" i="15"/>
  <c r="L76" i="15" s="1"/>
  <c r="K77" i="15"/>
  <c r="L77" i="15" s="1"/>
  <c r="K78" i="15"/>
  <c r="L78" i="15" s="1"/>
  <c r="K79" i="15"/>
  <c r="L79" i="15" s="1"/>
  <c r="K80" i="15"/>
  <c r="L80" i="15" s="1"/>
  <c r="K81" i="15"/>
  <c r="L81" i="15" s="1"/>
  <c r="K82" i="15"/>
  <c r="L82" i="15" s="1"/>
  <c r="K83" i="15"/>
  <c r="L83" i="15" s="1"/>
  <c r="K84" i="15"/>
  <c r="L84" i="15" s="1"/>
  <c r="K85" i="15"/>
  <c r="L85" i="15" s="1"/>
  <c r="K86" i="15"/>
  <c r="L86" i="15" s="1"/>
  <c r="K87" i="15"/>
  <c r="L87" i="15" s="1"/>
  <c r="K88" i="15"/>
  <c r="L88" i="15" s="1"/>
  <c r="K89" i="15"/>
  <c r="L89" i="15" s="1"/>
  <c r="K90" i="15"/>
  <c r="L90" i="15" s="1"/>
  <c r="K91" i="15"/>
  <c r="L91" i="15" s="1"/>
  <c r="K92" i="15"/>
  <c r="L92" i="15" s="1"/>
  <c r="K93" i="15"/>
  <c r="L93" i="15" s="1"/>
  <c r="K94" i="15"/>
  <c r="L94" i="15" s="1"/>
  <c r="K95" i="15"/>
  <c r="L95" i="15" s="1"/>
  <c r="K96" i="15"/>
  <c r="L96" i="15" s="1"/>
  <c r="K97" i="15"/>
  <c r="L97" i="15" s="1"/>
  <c r="K98" i="15"/>
  <c r="L98" i="15" s="1"/>
  <c r="K99" i="15"/>
  <c r="L99" i="15" s="1"/>
  <c r="K100" i="15"/>
  <c r="L100" i="15" s="1"/>
  <c r="K101" i="15"/>
  <c r="L101" i="15" s="1"/>
  <c r="K102" i="15"/>
  <c r="L102" i="15" s="1"/>
  <c r="K103" i="15"/>
  <c r="L103" i="15" s="1"/>
  <c r="K104" i="15"/>
  <c r="L104" i="15" s="1"/>
  <c r="K105" i="15"/>
  <c r="L105" i="15" s="1"/>
  <c r="K106" i="15"/>
  <c r="L106" i="15" s="1"/>
  <c r="K107" i="15"/>
  <c r="L107" i="15" s="1"/>
  <c r="K108" i="15"/>
  <c r="L108" i="15" s="1"/>
  <c r="K109" i="15"/>
  <c r="L109" i="15" s="1"/>
  <c r="K110" i="15"/>
  <c r="L110" i="15" s="1"/>
  <c r="K111" i="15"/>
  <c r="L111" i="15" s="1"/>
  <c r="K112" i="15"/>
  <c r="L112" i="15" s="1"/>
  <c r="K113" i="15"/>
  <c r="L113" i="15" s="1"/>
  <c r="K114" i="15"/>
  <c r="L114" i="15" s="1"/>
  <c r="K115" i="15"/>
  <c r="L115" i="15" s="1"/>
  <c r="K116" i="15"/>
  <c r="L116" i="15" s="1"/>
  <c r="K117" i="15"/>
  <c r="L117" i="15" s="1"/>
  <c r="K118" i="15"/>
  <c r="L118" i="15" s="1"/>
  <c r="K119" i="15"/>
  <c r="L119" i="15" s="1"/>
  <c r="K120" i="15"/>
  <c r="L120" i="15" s="1"/>
  <c r="K121" i="15"/>
  <c r="L121" i="15" s="1"/>
  <c r="K122" i="15"/>
  <c r="L122" i="15" s="1"/>
  <c r="K123" i="15"/>
  <c r="L123" i="15" s="1"/>
  <c r="K124" i="15"/>
  <c r="L124" i="15" s="1"/>
  <c r="K125" i="15"/>
  <c r="L125" i="15" s="1"/>
  <c r="K126" i="15"/>
  <c r="L126" i="15" s="1"/>
  <c r="K127" i="15"/>
  <c r="L127" i="15" s="1"/>
  <c r="K128" i="15"/>
  <c r="L128" i="15" s="1"/>
  <c r="K129" i="15"/>
  <c r="L129" i="15" s="1"/>
  <c r="K130" i="15"/>
  <c r="L130" i="15" s="1"/>
  <c r="K131" i="15"/>
  <c r="L131" i="15" s="1"/>
  <c r="K132" i="15"/>
  <c r="L132" i="15" s="1"/>
  <c r="K133" i="15"/>
  <c r="L133" i="15" s="1"/>
  <c r="K134" i="15"/>
  <c r="L134" i="15" s="1"/>
  <c r="K135" i="15"/>
  <c r="L135" i="15" s="1"/>
  <c r="K136" i="15"/>
  <c r="L136" i="15" s="1"/>
  <c r="K137" i="15"/>
  <c r="L137" i="15" s="1"/>
  <c r="K138" i="15"/>
  <c r="L138" i="15" s="1"/>
  <c r="K139" i="15"/>
  <c r="L139" i="15" s="1"/>
  <c r="K140" i="15"/>
  <c r="L140" i="15" s="1"/>
  <c r="K141" i="15"/>
  <c r="L141" i="15" s="1"/>
  <c r="K142" i="15"/>
  <c r="L142" i="15" s="1"/>
  <c r="K143" i="15"/>
  <c r="L143" i="15" s="1"/>
  <c r="K144" i="15"/>
  <c r="L144" i="15" s="1"/>
  <c r="K145" i="15"/>
  <c r="L145" i="15" s="1"/>
  <c r="K146" i="15"/>
  <c r="L146" i="15" s="1"/>
  <c r="K147" i="15"/>
  <c r="L147" i="15" s="1"/>
  <c r="K148" i="15"/>
  <c r="L148" i="15" s="1"/>
  <c r="K149" i="15"/>
  <c r="L149" i="15" s="1"/>
  <c r="K150" i="15"/>
  <c r="L150" i="15" s="1"/>
  <c r="K151" i="15"/>
  <c r="L151" i="15" s="1"/>
  <c r="K152" i="15"/>
  <c r="L152" i="15" s="1"/>
  <c r="K153" i="15"/>
  <c r="L153" i="15" s="1"/>
  <c r="K154" i="15"/>
  <c r="L154" i="15" s="1"/>
  <c r="K155" i="15"/>
  <c r="L155" i="15" s="1"/>
  <c r="K156" i="15"/>
  <c r="L156" i="15" s="1"/>
  <c r="K157" i="15"/>
  <c r="L157" i="15" s="1"/>
  <c r="K158" i="15"/>
  <c r="L158" i="15" s="1"/>
  <c r="K159" i="15"/>
  <c r="L159" i="15" s="1"/>
  <c r="K160" i="15"/>
  <c r="L160" i="15" s="1"/>
  <c r="K161" i="15"/>
  <c r="L161" i="15" s="1"/>
  <c r="K162" i="15"/>
  <c r="L162" i="15" s="1"/>
  <c r="K163" i="15"/>
  <c r="L163" i="15" s="1"/>
  <c r="K164" i="15"/>
  <c r="L164" i="15" s="1"/>
  <c r="K165" i="15"/>
  <c r="L165" i="15" s="1"/>
  <c r="K166" i="15"/>
  <c r="L166" i="15" s="1"/>
  <c r="K167" i="15"/>
  <c r="L167" i="15" s="1"/>
  <c r="K168" i="15"/>
  <c r="L168" i="15" s="1"/>
  <c r="K169" i="15"/>
  <c r="L169" i="15" s="1"/>
  <c r="K170" i="15"/>
  <c r="L170" i="15" s="1"/>
  <c r="K171" i="15"/>
  <c r="L171" i="15" s="1"/>
  <c r="K172" i="15"/>
  <c r="L172" i="15" s="1"/>
  <c r="K173" i="15"/>
  <c r="L173" i="15" s="1"/>
  <c r="K174" i="15"/>
  <c r="L174" i="15" s="1"/>
  <c r="K175" i="15"/>
  <c r="L175" i="15" s="1"/>
  <c r="K176" i="15"/>
  <c r="L176" i="15" s="1"/>
  <c r="K177" i="15"/>
  <c r="L177" i="15" s="1"/>
  <c r="K178" i="15"/>
  <c r="L178" i="15" s="1"/>
  <c r="K179" i="15"/>
  <c r="L179" i="15" s="1"/>
  <c r="K180" i="15"/>
  <c r="L180" i="15" s="1"/>
  <c r="K181" i="15"/>
  <c r="L181" i="15" s="1"/>
  <c r="K182" i="15"/>
  <c r="L182" i="15" s="1"/>
  <c r="K183" i="15"/>
  <c r="L183" i="15" s="1"/>
  <c r="K184" i="15"/>
  <c r="L184" i="15" s="1"/>
  <c r="K185" i="15"/>
  <c r="L185" i="15" s="1"/>
  <c r="K186" i="15"/>
  <c r="L186" i="15" s="1"/>
  <c r="K187" i="15"/>
  <c r="L187" i="15" s="1"/>
  <c r="K188" i="15"/>
  <c r="L188" i="15" s="1"/>
  <c r="K189" i="15"/>
  <c r="L189" i="15" s="1"/>
  <c r="K190" i="15"/>
  <c r="L190" i="15" s="1"/>
  <c r="K191" i="15"/>
  <c r="L191" i="15" s="1"/>
  <c r="K192" i="15"/>
  <c r="L192" i="15" s="1"/>
  <c r="K193" i="15"/>
  <c r="L193" i="15" s="1"/>
  <c r="K194" i="15"/>
  <c r="L194" i="15" s="1"/>
  <c r="K195" i="15"/>
  <c r="L195" i="15" s="1"/>
  <c r="K196" i="15"/>
  <c r="L196" i="15" s="1"/>
  <c r="K197" i="15"/>
  <c r="L197" i="15" s="1"/>
  <c r="K198" i="15"/>
  <c r="L198" i="15" s="1"/>
  <c r="K199" i="15"/>
  <c r="L199" i="15" s="1"/>
  <c r="J15" i="2"/>
  <c r="J16" i="2"/>
  <c r="J17" i="2"/>
  <c r="J18" i="2"/>
  <c r="J11" i="2"/>
  <c r="J10" i="2"/>
  <c r="J59" i="34"/>
  <c r="K59" i="34" s="1"/>
  <c r="J57" i="34"/>
  <c r="J56" i="34"/>
  <c r="J54" i="34"/>
  <c r="K54" i="34" s="1"/>
  <c r="J37" i="34"/>
  <c r="J36" i="34"/>
  <c r="J35" i="34"/>
  <c r="J33" i="34"/>
  <c r="J32" i="34"/>
  <c r="J31" i="34"/>
  <c r="J30" i="34"/>
  <c r="J28" i="34"/>
  <c r="K28" i="34" s="1"/>
  <c r="J26" i="34"/>
  <c r="K26" i="34" s="1"/>
  <c r="J24" i="34"/>
  <c r="J23" i="34"/>
  <c r="J21" i="34"/>
  <c r="J20" i="34"/>
  <c r="J19" i="34"/>
  <c r="J18" i="34"/>
  <c r="J17" i="34"/>
  <c r="J16" i="34"/>
  <c r="J14" i="34"/>
  <c r="J13" i="34"/>
  <c r="J12" i="34"/>
  <c r="J10" i="34"/>
  <c r="K10" i="34" s="1"/>
  <c r="J8" i="34"/>
  <c r="J7" i="34"/>
  <c r="N58" i="33"/>
  <c r="N59" i="33" s="1"/>
  <c r="N61" i="33"/>
  <c r="K23" i="24" l="1"/>
  <c r="Q39" i="24"/>
  <c r="R39" i="24" s="1"/>
  <c r="S39" i="24" s="1"/>
  <c r="L8" i="15"/>
  <c r="K200" i="15"/>
  <c r="M54" i="15"/>
  <c r="N54" i="15" s="1"/>
  <c r="O54" i="15" s="1"/>
  <c r="P54" i="15" s="1"/>
  <c r="Q54" i="15" s="1"/>
  <c r="M65" i="15"/>
  <c r="N65" i="15" s="1"/>
  <c r="O65" i="15" s="1"/>
  <c r="P65" i="15" s="1"/>
  <c r="Q65" i="15" s="1"/>
  <c r="M199" i="15"/>
  <c r="N199" i="15" s="1"/>
  <c r="O199" i="15" s="1"/>
  <c r="P199" i="15" s="1"/>
  <c r="Q199" i="15" s="1"/>
  <c r="M187" i="15"/>
  <c r="N187" i="15" s="1"/>
  <c r="O187" i="15" s="1"/>
  <c r="P187" i="15" s="1"/>
  <c r="Q187" i="15" s="1"/>
  <c r="M175" i="15"/>
  <c r="N175" i="15" s="1"/>
  <c r="O175" i="15" s="1"/>
  <c r="P175" i="15" s="1"/>
  <c r="Q175" i="15" s="1"/>
  <c r="M163" i="15"/>
  <c r="N163" i="15" s="1"/>
  <c r="O163" i="15" s="1"/>
  <c r="P163" i="15" s="1"/>
  <c r="Q163" i="15" s="1"/>
  <c r="M151" i="15"/>
  <c r="N151" i="15" s="1"/>
  <c r="O151" i="15" s="1"/>
  <c r="P151" i="15" s="1"/>
  <c r="Q151" i="15" s="1"/>
  <c r="M139" i="15"/>
  <c r="N139" i="15" s="1"/>
  <c r="O139" i="15" s="1"/>
  <c r="P139" i="15" s="1"/>
  <c r="Q139" i="15" s="1"/>
  <c r="M127" i="15"/>
  <c r="N127" i="15" s="1"/>
  <c r="O127" i="15" s="1"/>
  <c r="P127" i="15" s="1"/>
  <c r="Q127" i="15" s="1"/>
  <c r="M115" i="15"/>
  <c r="N115" i="15" s="1"/>
  <c r="O115" i="15" s="1"/>
  <c r="P115" i="15" s="1"/>
  <c r="Q115" i="15" s="1"/>
  <c r="M103" i="15"/>
  <c r="N103" i="15" s="1"/>
  <c r="O103" i="15" s="1"/>
  <c r="P103" i="15" s="1"/>
  <c r="Q103" i="15" s="1"/>
  <c r="M91" i="15"/>
  <c r="N91" i="15" s="1"/>
  <c r="O91" i="15" s="1"/>
  <c r="P91" i="15" s="1"/>
  <c r="Q91" i="15" s="1"/>
  <c r="M79" i="15"/>
  <c r="N79" i="15" s="1"/>
  <c r="O79" i="15" s="1"/>
  <c r="P79" i="15" s="1"/>
  <c r="Q79" i="15" s="1"/>
  <c r="M67" i="15"/>
  <c r="N67" i="15" s="1"/>
  <c r="O67" i="15" s="1"/>
  <c r="P67" i="15" s="1"/>
  <c r="Q67" i="15" s="1"/>
  <c r="M55" i="15"/>
  <c r="N55" i="15" s="1"/>
  <c r="O55" i="15" s="1"/>
  <c r="P55" i="15" s="1"/>
  <c r="Q55" i="15" s="1"/>
  <c r="M43" i="15"/>
  <c r="N43" i="15" s="1"/>
  <c r="O43" i="15" s="1"/>
  <c r="P43" i="15" s="1"/>
  <c r="Q43" i="15" s="1"/>
  <c r="M31" i="15"/>
  <c r="N31" i="15" s="1"/>
  <c r="O31" i="15" s="1"/>
  <c r="P31" i="15" s="1"/>
  <c r="Q31" i="15" s="1"/>
  <c r="M19" i="15"/>
  <c r="N19" i="15" s="1"/>
  <c r="O19" i="15" s="1"/>
  <c r="P19" i="15" s="1"/>
  <c r="Q19" i="15" s="1"/>
  <c r="M138" i="15"/>
  <c r="N138" i="15" s="1"/>
  <c r="O138" i="15" s="1"/>
  <c r="P138" i="15" s="1"/>
  <c r="Q138" i="15" s="1"/>
  <c r="M149" i="15"/>
  <c r="N149" i="15" s="1"/>
  <c r="O149" i="15" s="1"/>
  <c r="P149" i="15" s="1"/>
  <c r="Q149" i="15" s="1"/>
  <c r="M90" i="15"/>
  <c r="N90" i="15" s="1"/>
  <c r="O90" i="15" s="1"/>
  <c r="P90" i="15" s="1"/>
  <c r="Q90" i="15" s="1"/>
  <c r="M137" i="15"/>
  <c r="N137" i="15" s="1"/>
  <c r="O137" i="15" s="1"/>
  <c r="P137" i="15" s="1"/>
  <c r="Q137" i="15" s="1"/>
  <c r="M17" i="15"/>
  <c r="N17" i="15" s="1"/>
  <c r="O17" i="15" s="1"/>
  <c r="P17" i="15" s="1"/>
  <c r="Q17" i="15" s="1"/>
  <c r="M196" i="15"/>
  <c r="N196" i="15" s="1"/>
  <c r="O196" i="15" s="1"/>
  <c r="P196" i="15" s="1"/>
  <c r="Q196" i="15" s="1"/>
  <c r="M184" i="15"/>
  <c r="N184" i="15" s="1"/>
  <c r="O184" i="15" s="1"/>
  <c r="P184" i="15" s="1"/>
  <c r="Q184" i="15" s="1"/>
  <c r="M172" i="15"/>
  <c r="N172" i="15" s="1"/>
  <c r="O172" i="15" s="1"/>
  <c r="P172" i="15" s="1"/>
  <c r="Q172" i="15" s="1"/>
  <c r="M160" i="15"/>
  <c r="N160" i="15" s="1"/>
  <c r="O160" i="15" s="1"/>
  <c r="P160" i="15" s="1"/>
  <c r="Q160" i="15" s="1"/>
  <c r="M148" i="15"/>
  <c r="N148" i="15" s="1"/>
  <c r="O148" i="15" s="1"/>
  <c r="P148" i="15" s="1"/>
  <c r="Q148" i="15" s="1"/>
  <c r="M136" i="15"/>
  <c r="N136" i="15" s="1"/>
  <c r="O136" i="15" s="1"/>
  <c r="P136" i="15" s="1"/>
  <c r="Q136" i="15" s="1"/>
  <c r="M124" i="15"/>
  <c r="N124" i="15" s="1"/>
  <c r="O124" i="15" s="1"/>
  <c r="P124" i="15" s="1"/>
  <c r="Q124" i="15" s="1"/>
  <c r="M112" i="15"/>
  <c r="N112" i="15" s="1"/>
  <c r="O112" i="15" s="1"/>
  <c r="P112" i="15" s="1"/>
  <c r="Q112" i="15" s="1"/>
  <c r="M100" i="15"/>
  <c r="N100" i="15" s="1"/>
  <c r="O100" i="15" s="1"/>
  <c r="P100" i="15" s="1"/>
  <c r="Q100" i="15" s="1"/>
  <c r="M88" i="15"/>
  <c r="N88" i="15" s="1"/>
  <c r="O88" i="15" s="1"/>
  <c r="P88" i="15" s="1"/>
  <c r="Q88" i="15" s="1"/>
  <c r="M76" i="15"/>
  <c r="N76" i="15" s="1"/>
  <c r="O76" i="15" s="1"/>
  <c r="P76" i="15" s="1"/>
  <c r="Q76" i="15" s="1"/>
  <c r="M64" i="15"/>
  <c r="N64" i="15" s="1"/>
  <c r="O64" i="15" s="1"/>
  <c r="P64" i="15" s="1"/>
  <c r="Q64" i="15" s="1"/>
  <c r="M52" i="15"/>
  <c r="N52" i="15" s="1"/>
  <c r="O52" i="15" s="1"/>
  <c r="P52" i="15" s="1"/>
  <c r="Q52" i="15" s="1"/>
  <c r="M40" i="15"/>
  <c r="N40" i="15" s="1"/>
  <c r="O40" i="15" s="1"/>
  <c r="P40" i="15" s="1"/>
  <c r="Q40" i="15" s="1"/>
  <c r="M28" i="15"/>
  <c r="N28" i="15" s="1"/>
  <c r="O28" i="15" s="1"/>
  <c r="P28" i="15" s="1"/>
  <c r="Q28" i="15" s="1"/>
  <c r="M16" i="15"/>
  <c r="N16" i="15" s="1"/>
  <c r="O16" i="15" s="1"/>
  <c r="P16" i="15" s="1"/>
  <c r="Q16" i="15" s="1"/>
  <c r="M30" i="15"/>
  <c r="N30" i="15" s="1"/>
  <c r="O30" i="15" s="1"/>
  <c r="P30" i="15" s="1"/>
  <c r="Q30" i="15" s="1"/>
  <c r="M161" i="15"/>
  <c r="N161" i="15" s="1"/>
  <c r="O161" i="15" s="1"/>
  <c r="P161" i="15" s="1"/>
  <c r="Q161" i="15" s="1"/>
  <c r="M125" i="15"/>
  <c r="N125" i="15" s="1"/>
  <c r="O125" i="15" s="1"/>
  <c r="P125" i="15" s="1"/>
  <c r="Q125" i="15" s="1"/>
  <c r="M195" i="15"/>
  <c r="N195" i="15" s="1"/>
  <c r="O195" i="15" s="1"/>
  <c r="P195" i="15" s="1"/>
  <c r="Q195" i="15" s="1"/>
  <c r="M183" i="15"/>
  <c r="N183" i="15" s="1"/>
  <c r="O183" i="15" s="1"/>
  <c r="P183" i="15" s="1"/>
  <c r="Q183" i="15" s="1"/>
  <c r="M171" i="15"/>
  <c r="N171" i="15" s="1"/>
  <c r="O171" i="15" s="1"/>
  <c r="P171" i="15" s="1"/>
  <c r="Q171" i="15" s="1"/>
  <c r="M159" i="15"/>
  <c r="N159" i="15" s="1"/>
  <c r="O159" i="15" s="1"/>
  <c r="P159" i="15" s="1"/>
  <c r="Q159" i="15" s="1"/>
  <c r="M147" i="15"/>
  <c r="N147" i="15" s="1"/>
  <c r="O147" i="15" s="1"/>
  <c r="P147" i="15" s="1"/>
  <c r="Q147" i="15" s="1"/>
  <c r="M135" i="15"/>
  <c r="N135" i="15" s="1"/>
  <c r="O135" i="15" s="1"/>
  <c r="P135" i="15" s="1"/>
  <c r="Q135" i="15" s="1"/>
  <c r="M123" i="15"/>
  <c r="N123" i="15" s="1"/>
  <c r="O123" i="15" s="1"/>
  <c r="P123" i="15" s="1"/>
  <c r="Q123" i="15" s="1"/>
  <c r="M111" i="15"/>
  <c r="N111" i="15" s="1"/>
  <c r="O111" i="15" s="1"/>
  <c r="P111" i="15" s="1"/>
  <c r="Q111" i="15" s="1"/>
  <c r="M99" i="15"/>
  <c r="N99" i="15" s="1"/>
  <c r="O99" i="15" s="1"/>
  <c r="P99" i="15" s="1"/>
  <c r="Q99" i="15" s="1"/>
  <c r="M87" i="15"/>
  <c r="N87" i="15" s="1"/>
  <c r="O87" i="15" s="1"/>
  <c r="P87" i="15" s="1"/>
  <c r="Q87" i="15" s="1"/>
  <c r="M75" i="15"/>
  <c r="N75" i="15" s="1"/>
  <c r="O75" i="15" s="1"/>
  <c r="P75" i="15" s="1"/>
  <c r="Q75" i="15" s="1"/>
  <c r="M63" i="15"/>
  <c r="N63" i="15" s="1"/>
  <c r="O63" i="15" s="1"/>
  <c r="P63" i="15" s="1"/>
  <c r="Q63" i="15" s="1"/>
  <c r="M51" i="15"/>
  <c r="N51" i="15" s="1"/>
  <c r="O51" i="15" s="1"/>
  <c r="P51" i="15" s="1"/>
  <c r="Q51" i="15" s="1"/>
  <c r="M39" i="15"/>
  <c r="N39" i="15" s="1"/>
  <c r="O39" i="15" s="1"/>
  <c r="P39" i="15" s="1"/>
  <c r="Q39" i="15" s="1"/>
  <c r="M27" i="15"/>
  <c r="N27" i="15" s="1"/>
  <c r="O27" i="15" s="1"/>
  <c r="P27" i="15" s="1"/>
  <c r="Q27" i="15" s="1"/>
  <c r="M15" i="15"/>
  <c r="N15" i="15" s="1"/>
  <c r="O15" i="15" s="1"/>
  <c r="P15" i="15" s="1"/>
  <c r="Q15" i="15" s="1"/>
  <c r="M150" i="15"/>
  <c r="N150" i="15" s="1"/>
  <c r="O150" i="15" s="1"/>
  <c r="P150" i="15" s="1"/>
  <c r="Q150" i="15" s="1"/>
  <c r="M42" i="15"/>
  <c r="N42" i="15" s="1"/>
  <c r="O42" i="15" s="1"/>
  <c r="P42" i="15" s="1"/>
  <c r="Q42" i="15" s="1"/>
  <c r="M173" i="15"/>
  <c r="N173" i="15" s="1"/>
  <c r="O173" i="15" s="1"/>
  <c r="P173" i="15" s="1"/>
  <c r="Q173" i="15" s="1"/>
  <c r="M101" i="15"/>
  <c r="N101" i="15" s="1"/>
  <c r="O101" i="15" s="1"/>
  <c r="P101" i="15" s="1"/>
  <c r="Q101" i="15" s="1"/>
  <c r="M194" i="15"/>
  <c r="N194" i="15" s="1"/>
  <c r="O194" i="15" s="1"/>
  <c r="P194" i="15" s="1"/>
  <c r="Q194" i="15" s="1"/>
  <c r="M182" i="15"/>
  <c r="N182" i="15" s="1"/>
  <c r="O182" i="15" s="1"/>
  <c r="P182" i="15" s="1"/>
  <c r="Q182" i="15" s="1"/>
  <c r="M170" i="15"/>
  <c r="N170" i="15" s="1"/>
  <c r="O170" i="15" s="1"/>
  <c r="P170" i="15" s="1"/>
  <c r="Q170" i="15" s="1"/>
  <c r="M158" i="15"/>
  <c r="N158" i="15" s="1"/>
  <c r="O158" i="15" s="1"/>
  <c r="P158" i="15" s="1"/>
  <c r="Q158" i="15" s="1"/>
  <c r="M146" i="15"/>
  <c r="N146" i="15" s="1"/>
  <c r="O146" i="15" s="1"/>
  <c r="P146" i="15" s="1"/>
  <c r="Q146" i="15" s="1"/>
  <c r="M134" i="15"/>
  <c r="N134" i="15" s="1"/>
  <c r="O134" i="15" s="1"/>
  <c r="P134" i="15" s="1"/>
  <c r="Q134" i="15" s="1"/>
  <c r="M122" i="15"/>
  <c r="N122" i="15" s="1"/>
  <c r="O122" i="15" s="1"/>
  <c r="P122" i="15" s="1"/>
  <c r="Q122" i="15" s="1"/>
  <c r="M110" i="15"/>
  <c r="N110" i="15" s="1"/>
  <c r="O110" i="15" s="1"/>
  <c r="P110" i="15" s="1"/>
  <c r="Q110" i="15" s="1"/>
  <c r="M98" i="15"/>
  <c r="N98" i="15" s="1"/>
  <c r="O98" i="15" s="1"/>
  <c r="P98" i="15" s="1"/>
  <c r="Q98" i="15" s="1"/>
  <c r="M86" i="15"/>
  <c r="N86" i="15" s="1"/>
  <c r="O86" i="15" s="1"/>
  <c r="P86" i="15" s="1"/>
  <c r="Q86" i="15" s="1"/>
  <c r="M74" i="15"/>
  <c r="N74" i="15" s="1"/>
  <c r="O74" i="15" s="1"/>
  <c r="P74" i="15" s="1"/>
  <c r="Q74" i="15" s="1"/>
  <c r="M62" i="15"/>
  <c r="N62" i="15" s="1"/>
  <c r="O62" i="15" s="1"/>
  <c r="P62" i="15" s="1"/>
  <c r="Q62" i="15" s="1"/>
  <c r="M50" i="15"/>
  <c r="N50" i="15" s="1"/>
  <c r="O50" i="15" s="1"/>
  <c r="P50" i="15" s="1"/>
  <c r="Q50" i="15" s="1"/>
  <c r="M38" i="15"/>
  <c r="N38" i="15" s="1"/>
  <c r="O38" i="15" s="1"/>
  <c r="P38" i="15" s="1"/>
  <c r="Q38" i="15" s="1"/>
  <c r="M26" i="15"/>
  <c r="N26" i="15" s="1"/>
  <c r="O26" i="15" s="1"/>
  <c r="P26" i="15" s="1"/>
  <c r="Q26" i="15" s="1"/>
  <c r="M14" i="15"/>
  <c r="N14" i="15" s="1"/>
  <c r="O14" i="15" s="1"/>
  <c r="P14" i="15" s="1"/>
  <c r="Q14" i="15" s="1"/>
  <c r="M126" i="15"/>
  <c r="N126" i="15" s="1"/>
  <c r="O126" i="15" s="1"/>
  <c r="P126" i="15" s="1"/>
  <c r="Q126" i="15" s="1"/>
  <c r="M197" i="15"/>
  <c r="N197" i="15" s="1"/>
  <c r="O197" i="15" s="1"/>
  <c r="P197" i="15" s="1"/>
  <c r="Q197" i="15" s="1"/>
  <c r="M53" i="15"/>
  <c r="N53" i="15" s="1"/>
  <c r="O53" i="15" s="1"/>
  <c r="P53" i="15" s="1"/>
  <c r="Q53" i="15" s="1"/>
  <c r="M193" i="15"/>
  <c r="N193" i="15" s="1"/>
  <c r="O193" i="15" s="1"/>
  <c r="P193" i="15" s="1"/>
  <c r="Q193" i="15" s="1"/>
  <c r="M181" i="15"/>
  <c r="N181" i="15" s="1"/>
  <c r="O181" i="15" s="1"/>
  <c r="P181" i="15" s="1"/>
  <c r="Q181" i="15" s="1"/>
  <c r="M169" i="15"/>
  <c r="N169" i="15" s="1"/>
  <c r="O169" i="15" s="1"/>
  <c r="P169" i="15" s="1"/>
  <c r="Q169" i="15" s="1"/>
  <c r="M157" i="15"/>
  <c r="N157" i="15" s="1"/>
  <c r="O157" i="15" s="1"/>
  <c r="P157" i="15" s="1"/>
  <c r="Q157" i="15" s="1"/>
  <c r="M145" i="15"/>
  <c r="N145" i="15" s="1"/>
  <c r="O145" i="15" s="1"/>
  <c r="P145" i="15" s="1"/>
  <c r="Q145" i="15" s="1"/>
  <c r="M133" i="15"/>
  <c r="N133" i="15" s="1"/>
  <c r="O133" i="15" s="1"/>
  <c r="P133" i="15" s="1"/>
  <c r="Q133" i="15" s="1"/>
  <c r="M121" i="15"/>
  <c r="N121" i="15" s="1"/>
  <c r="O121" i="15" s="1"/>
  <c r="P121" i="15" s="1"/>
  <c r="Q121" i="15" s="1"/>
  <c r="M109" i="15"/>
  <c r="N109" i="15" s="1"/>
  <c r="O109" i="15" s="1"/>
  <c r="P109" i="15" s="1"/>
  <c r="Q109" i="15" s="1"/>
  <c r="M97" i="15"/>
  <c r="N97" i="15" s="1"/>
  <c r="O97" i="15" s="1"/>
  <c r="P97" i="15" s="1"/>
  <c r="Q97" i="15" s="1"/>
  <c r="M85" i="15"/>
  <c r="N85" i="15" s="1"/>
  <c r="O85" i="15" s="1"/>
  <c r="P85" i="15" s="1"/>
  <c r="Q85" i="15" s="1"/>
  <c r="M73" i="15"/>
  <c r="N73" i="15" s="1"/>
  <c r="O73" i="15" s="1"/>
  <c r="P73" i="15" s="1"/>
  <c r="Q73" i="15" s="1"/>
  <c r="M61" i="15"/>
  <c r="N61" i="15" s="1"/>
  <c r="O61" i="15" s="1"/>
  <c r="P61" i="15" s="1"/>
  <c r="Q61" i="15" s="1"/>
  <c r="M49" i="15"/>
  <c r="N49" i="15" s="1"/>
  <c r="O49" i="15" s="1"/>
  <c r="P49" i="15" s="1"/>
  <c r="Q49" i="15" s="1"/>
  <c r="M37" i="15"/>
  <c r="N37" i="15" s="1"/>
  <c r="O37" i="15" s="1"/>
  <c r="P37" i="15" s="1"/>
  <c r="Q37" i="15" s="1"/>
  <c r="M25" i="15"/>
  <c r="N25" i="15" s="1"/>
  <c r="O25" i="15" s="1"/>
  <c r="P25" i="15" s="1"/>
  <c r="Q25" i="15" s="1"/>
  <c r="M13" i="15"/>
  <c r="N13" i="15" s="1"/>
  <c r="O13" i="15" s="1"/>
  <c r="P13" i="15" s="1"/>
  <c r="Q13" i="15" s="1"/>
  <c r="M114" i="15"/>
  <c r="N114" i="15" s="1"/>
  <c r="O114" i="15" s="1"/>
  <c r="P114" i="15" s="1"/>
  <c r="Q114" i="15" s="1"/>
  <c r="M41" i="15"/>
  <c r="N41" i="15" s="1"/>
  <c r="O41" i="15" s="1"/>
  <c r="P41" i="15" s="1"/>
  <c r="Q41" i="15" s="1"/>
  <c r="M192" i="15"/>
  <c r="N192" i="15" s="1"/>
  <c r="O192" i="15" s="1"/>
  <c r="P192" i="15" s="1"/>
  <c r="Q192" i="15" s="1"/>
  <c r="M180" i="15"/>
  <c r="N180" i="15" s="1"/>
  <c r="O180" i="15" s="1"/>
  <c r="P180" i="15" s="1"/>
  <c r="Q180" i="15" s="1"/>
  <c r="M168" i="15"/>
  <c r="N168" i="15" s="1"/>
  <c r="O168" i="15" s="1"/>
  <c r="P168" i="15" s="1"/>
  <c r="Q168" i="15" s="1"/>
  <c r="M156" i="15"/>
  <c r="N156" i="15" s="1"/>
  <c r="O156" i="15" s="1"/>
  <c r="P156" i="15" s="1"/>
  <c r="Q156" i="15" s="1"/>
  <c r="M144" i="15"/>
  <c r="N144" i="15" s="1"/>
  <c r="O144" i="15" s="1"/>
  <c r="P144" i="15" s="1"/>
  <c r="Q144" i="15" s="1"/>
  <c r="M132" i="15"/>
  <c r="N132" i="15" s="1"/>
  <c r="O132" i="15" s="1"/>
  <c r="P132" i="15" s="1"/>
  <c r="Q132" i="15" s="1"/>
  <c r="M120" i="15"/>
  <c r="N120" i="15" s="1"/>
  <c r="O120" i="15" s="1"/>
  <c r="P120" i="15" s="1"/>
  <c r="Q120" i="15" s="1"/>
  <c r="M108" i="15"/>
  <c r="N108" i="15" s="1"/>
  <c r="O108" i="15" s="1"/>
  <c r="P108" i="15" s="1"/>
  <c r="Q108" i="15" s="1"/>
  <c r="M96" i="15"/>
  <c r="N96" i="15" s="1"/>
  <c r="O96" i="15" s="1"/>
  <c r="P96" i="15" s="1"/>
  <c r="Q96" i="15" s="1"/>
  <c r="M84" i="15"/>
  <c r="N84" i="15" s="1"/>
  <c r="O84" i="15" s="1"/>
  <c r="P84" i="15" s="1"/>
  <c r="Q84" i="15" s="1"/>
  <c r="M72" i="15"/>
  <c r="N72" i="15" s="1"/>
  <c r="O72" i="15" s="1"/>
  <c r="P72" i="15" s="1"/>
  <c r="Q72" i="15" s="1"/>
  <c r="M60" i="15"/>
  <c r="N60" i="15" s="1"/>
  <c r="O60" i="15" s="1"/>
  <c r="P60" i="15" s="1"/>
  <c r="Q60" i="15" s="1"/>
  <c r="M48" i="15"/>
  <c r="N48" i="15" s="1"/>
  <c r="O48" i="15" s="1"/>
  <c r="P48" i="15" s="1"/>
  <c r="Q48" i="15" s="1"/>
  <c r="M36" i="15"/>
  <c r="N36" i="15" s="1"/>
  <c r="O36" i="15" s="1"/>
  <c r="P36" i="15" s="1"/>
  <c r="Q36" i="15" s="1"/>
  <c r="M24" i="15"/>
  <c r="N24" i="15" s="1"/>
  <c r="O24" i="15" s="1"/>
  <c r="P24" i="15" s="1"/>
  <c r="Q24" i="15" s="1"/>
  <c r="M12" i="15"/>
  <c r="N12" i="15" s="1"/>
  <c r="O12" i="15" s="1"/>
  <c r="P12" i="15" s="1"/>
  <c r="Q12" i="15" s="1"/>
  <c r="M174" i="15"/>
  <c r="N174" i="15" s="1"/>
  <c r="O174" i="15" s="1"/>
  <c r="P174" i="15" s="1"/>
  <c r="Q174" i="15" s="1"/>
  <c r="M102" i="15"/>
  <c r="N102" i="15" s="1"/>
  <c r="O102" i="15" s="1"/>
  <c r="P102" i="15" s="1"/>
  <c r="Q102" i="15" s="1"/>
  <c r="M185" i="15"/>
  <c r="N185" i="15" s="1"/>
  <c r="O185" i="15" s="1"/>
  <c r="P185" i="15" s="1"/>
  <c r="Q185" i="15" s="1"/>
  <c r="M89" i="15"/>
  <c r="N89" i="15" s="1"/>
  <c r="O89" i="15" s="1"/>
  <c r="P89" i="15" s="1"/>
  <c r="Q89" i="15" s="1"/>
  <c r="M191" i="15"/>
  <c r="N191" i="15" s="1"/>
  <c r="O191" i="15" s="1"/>
  <c r="P191" i="15" s="1"/>
  <c r="Q191" i="15" s="1"/>
  <c r="M179" i="15"/>
  <c r="N179" i="15" s="1"/>
  <c r="O179" i="15" s="1"/>
  <c r="P179" i="15" s="1"/>
  <c r="Q179" i="15" s="1"/>
  <c r="M167" i="15"/>
  <c r="N167" i="15" s="1"/>
  <c r="O167" i="15" s="1"/>
  <c r="P167" i="15" s="1"/>
  <c r="Q167" i="15" s="1"/>
  <c r="M155" i="15"/>
  <c r="N155" i="15" s="1"/>
  <c r="O155" i="15" s="1"/>
  <c r="P155" i="15" s="1"/>
  <c r="Q155" i="15" s="1"/>
  <c r="M143" i="15"/>
  <c r="N143" i="15" s="1"/>
  <c r="O143" i="15" s="1"/>
  <c r="P143" i="15" s="1"/>
  <c r="Q143" i="15" s="1"/>
  <c r="M131" i="15"/>
  <c r="N131" i="15" s="1"/>
  <c r="O131" i="15" s="1"/>
  <c r="P131" i="15" s="1"/>
  <c r="Q131" i="15" s="1"/>
  <c r="M119" i="15"/>
  <c r="N119" i="15" s="1"/>
  <c r="O119" i="15" s="1"/>
  <c r="P119" i="15" s="1"/>
  <c r="Q119" i="15" s="1"/>
  <c r="M107" i="15"/>
  <c r="N107" i="15" s="1"/>
  <c r="O107" i="15" s="1"/>
  <c r="P107" i="15" s="1"/>
  <c r="Q107" i="15" s="1"/>
  <c r="M95" i="15"/>
  <c r="N95" i="15" s="1"/>
  <c r="O95" i="15" s="1"/>
  <c r="P95" i="15" s="1"/>
  <c r="Q95" i="15" s="1"/>
  <c r="M83" i="15"/>
  <c r="N83" i="15" s="1"/>
  <c r="O83" i="15" s="1"/>
  <c r="P83" i="15" s="1"/>
  <c r="Q83" i="15" s="1"/>
  <c r="M71" i="15"/>
  <c r="N71" i="15" s="1"/>
  <c r="O71" i="15" s="1"/>
  <c r="P71" i="15" s="1"/>
  <c r="Q71" i="15" s="1"/>
  <c r="M59" i="15"/>
  <c r="N59" i="15" s="1"/>
  <c r="O59" i="15" s="1"/>
  <c r="P59" i="15" s="1"/>
  <c r="Q59" i="15" s="1"/>
  <c r="M47" i="15"/>
  <c r="N47" i="15" s="1"/>
  <c r="O47" i="15" s="1"/>
  <c r="P47" i="15" s="1"/>
  <c r="Q47" i="15" s="1"/>
  <c r="M35" i="15"/>
  <c r="N35" i="15" s="1"/>
  <c r="O35" i="15" s="1"/>
  <c r="P35" i="15" s="1"/>
  <c r="Q35" i="15" s="1"/>
  <c r="M23" i="15"/>
  <c r="N23" i="15" s="1"/>
  <c r="O23" i="15" s="1"/>
  <c r="P23" i="15" s="1"/>
  <c r="Q23" i="15" s="1"/>
  <c r="M11" i="15"/>
  <c r="N11" i="15" s="1"/>
  <c r="O11" i="15" s="1"/>
  <c r="P11" i="15" s="1"/>
  <c r="Q11" i="15" s="1"/>
  <c r="M186" i="15"/>
  <c r="N186" i="15" s="1"/>
  <c r="O186" i="15" s="1"/>
  <c r="P186" i="15" s="1"/>
  <c r="Q186" i="15" s="1"/>
  <c r="M18" i="15"/>
  <c r="N18" i="15" s="1"/>
  <c r="O18" i="15" s="1"/>
  <c r="P18" i="15" s="1"/>
  <c r="Q18" i="15" s="1"/>
  <c r="M113" i="15"/>
  <c r="N113" i="15" s="1"/>
  <c r="O113" i="15" s="1"/>
  <c r="P113" i="15" s="1"/>
  <c r="Q113" i="15" s="1"/>
  <c r="M190" i="15"/>
  <c r="N190" i="15" s="1"/>
  <c r="O190" i="15" s="1"/>
  <c r="P190" i="15" s="1"/>
  <c r="Q190" i="15" s="1"/>
  <c r="M178" i="15"/>
  <c r="N178" i="15" s="1"/>
  <c r="O178" i="15" s="1"/>
  <c r="P178" i="15" s="1"/>
  <c r="Q178" i="15" s="1"/>
  <c r="M166" i="15"/>
  <c r="N166" i="15" s="1"/>
  <c r="O166" i="15" s="1"/>
  <c r="P166" i="15" s="1"/>
  <c r="Q166" i="15" s="1"/>
  <c r="M154" i="15"/>
  <c r="N154" i="15" s="1"/>
  <c r="O154" i="15" s="1"/>
  <c r="P154" i="15" s="1"/>
  <c r="Q154" i="15" s="1"/>
  <c r="M142" i="15"/>
  <c r="N142" i="15" s="1"/>
  <c r="O142" i="15" s="1"/>
  <c r="P142" i="15" s="1"/>
  <c r="Q142" i="15" s="1"/>
  <c r="M130" i="15"/>
  <c r="N130" i="15" s="1"/>
  <c r="O130" i="15" s="1"/>
  <c r="P130" i="15" s="1"/>
  <c r="Q130" i="15" s="1"/>
  <c r="M118" i="15"/>
  <c r="N118" i="15" s="1"/>
  <c r="O118" i="15" s="1"/>
  <c r="P118" i="15" s="1"/>
  <c r="Q118" i="15" s="1"/>
  <c r="M106" i="15"/>
  <c r="N106" i="15" s="1"/>
  <c r="O106" i="15" s="1"/>
  <c r="P106" i="15" s="1"/>
  <c r="Q106" i="15" s="1"/>
  <c r="M94" i="15"/>
  <c r="N94" i="15" s="1"/>
  <c r="O94" i="15" s="1"/>
  <c r="P94" i="15" s="1"/>
  <c r="Q94" i="15" s="1"/>
  <c r="M82" i="15"/>
  <c r="N82" i="15" s="1"/>
  <c r="O82" i="15" s="1"/>
  <c r="P82" i="15" s="1"/>
  <c r="Q82" i="15" s="1"/>
  <c r="M70" i="15"/>
  <c r="N70" i="15" s="1"/>
  <c r="O70" i="15" s="1"/>
  <c r="P70" i="15" s="1"/>
  <c r="Q70" i="15" s="1"/>
  <c r="M58" i="15"/>
  <c r="N58" i="15" s="1"/>
  <c r="O58" i="15" s="1"/>
  <c r="P58" i="15" s="1"/>
  <c r="Q58" i="15" s="1"/>
  <c r="M46" i="15"/>
  <c r="N46" i="15" s="1"/>
  <c r="O46" i="15" s="1"/>
  <c r="P46" i="15" s="1"/>
  <c r="Q46" i="15" s="1"/>
  <c r="M34" i="15"/>
  <c r="N34" i="15" s="1"/>
  <c r="O34" i="15" s="1"/>
  <c r="P34" i="15" s="1"/>
  <c r="Q34" i="15" s="1"/>
  <c r="M22" i="15"/>
  <c r="N22" i="15" s="1"/>
  <c r="O22" i="15" s="1"/>
  <c r="P22" i="15" s="1"/>
  <c r="Q22" i="15" s="1"/>
  <c r="M10" i="15"/>
  <c r="N10" i="15" s="1"/>
  <c r="O10" i="15" s="1"/>
  <c r="P10" i="15" s="1"/>
  <c r="Q10" i="15" s="1"/>
  <c r="M198" i="15"/>
  <c r="N198" i="15" s="1"/>
  <c r="O198" i="15" s="1"/>
  <c r="P198" i="15" s="1"/>
  <c r="Q198" i="15" s="1"/>
  <c r="M78" i="15"/>
  <c r="N78" i="15" s="1"/>
  <c r="O78" i="15" s="1"/>
  <c r="P78" i="15" s="1"/>
  <c r="Q78" i="15" s="1"/>
  <c r="M29" i="15"/>
  <c r="N29" i="15" s="1"/>
  <c r="O29" i="15" s="1"/>
  <c r="P29" i="15" s="1"/>
  <c r="Q29" i="15" s="1"/>
  <c r="M189" i="15"/>
  <c r="N189" i="15" s="1"/>
  <c r="O189" i="15" s="1"/>
  <c r="P189" i="15" s="1"/>
  <c r="Q189" i="15" s="1"/>
  <c r="M177" i="15"/>
  <c r="N177" i="15" s="1"/>
  <c r="O177" i="15" s="1"/>
  <c r="P177" i="15" s="1"/>
  <c r="Q177" i="15" s="1"/>
  <c r="M165" i="15"/>
  <c r="N165" i="15" s="1"/>
  <c r="O165" i="15" s="1"/>
  <c r="P165" i="15" s="1"/>
  <c r="Q165" i="15" s="1"/>
  <c r="M153" i="15"/>
  <c r="N153" i="15" s="1"/>
  <c r="O153" i="15" s="1"/>
  <c r="P153" i="15" s="1"/>
  <c r="Q153" i="15" s="1"/>
  <c r="M141" i="15"/>
  <c r="N141" i="15" s="1"/>
  <c r="O141" i="15" s="1"/>
  <c r="P141" i="15" s="1"/>
  <c r="Q141" i="15" s="1"/>
  <c r="M129" i="15"/>
  <c r="N129" i="15" s="1"/>
  <c r="O129" i="15" s="1"/>
  <c r="P129" i="15" s="1"/>
  <c r="Q129" i="15" s="1"/>
  <c r="M117" i="15"/>
  <c r="N117" i="15" s="1"/>
  <c r="O117" i="15" s="1"/>
  <c r="P117" i="15" s="1"/>
  <c r="Q117" i="15" s="1"/>
  <c r="M105" i="15"/>
  <c r="N105" i="15" s="1"/>
  <c r="O105" i="15" s="1"/>
  <c r="P105" i="15" s="1"/>
  <c r="Q105" i="15" s="1"/>
  <c r="M93" i="15"/>
  <c r="N93" i="15" s="1"/>
  <c r="O93" i="15" s="1"/>
  <c r="P93" i="15" s="1"/>
  <c r="Q93" i="15" s="1"/>
  <c r="M81" i="15"/>
  <c r="N81" i="15" s="1"/>
  <c r="O81" i="15" s="1"/>
  <c r="P81" i="15" s="1"/>
  <c r="Q81" i="15" s="1"/>
  <c r="M69" i="15"/>
  <c r="N69" i="15" s="1"/>
  <c r="O69" i="15" s="1"/>
  <c r="P69" i="15" s="1"/>
  <c r="Q69" i="15" s="1"/>
  <c r="M57" i="15"/>
  <c r="N57" i="15" s="1"/>
  <c r="O57" i="15" s="1"/>
  <c r="P57" i="15" s="1"/>
  <c r="Q57" i="15" s="1"/>
  <c r="M45" i="15"/>
  <c r="N45" i="15" s="1"/>
  <c r="O45" i="15" s="1"/>
  <c r="P45" i="15" s="1"/>
  <c r="Q45" i="15" s="1"/>
  <c r="M33" i="15"/>
  <c r="N33" i="15" s="1"/>
  <c r="O33" i="15" s="1"/>
  <c r="P33" i="15" s="1"/>
  <c r="Q33" i="15" s="1"/>
  <c r="M21" i="15"/>
  <c r="N21" i="15" s="1"/>
  <c r="O21" i="15" s="1"/>
  <c r="P21" i="15" s="1"/>
  <c r="Q21" i="15" s="1"/>
  <c r="M9" i="15"/>
  <c r="N9" i="15" s="1"/>
  <c r="O9" i="15" s="1"/>
  <c r="P9" i="15" s="1"/>
  <c r="Q9" i="15" s="1"/>
  <c r="M162" i="15"/>
  <c r="N162" i="15" s="1"/>
  <c r="O162" i="15" s="1"/>
  <c r="P162" i="15" s="1"/>
  <c r="Q162" i="15" s="1"/>
  <c r="M66" i="15"/>
  <c r="N66" i="15" s="1"/>
  <c r="O66" i="15" s="1"/>
  <c r="P66" i="15" s="1"/>
  <c r="Q66" i="15" s="1"/>
  <c r="M77" i="15"/>
  <c r="N77" i="15" s="1"/>
  <c r="O77" i="15" s="1"/>
  <c r="P77" i="15" s="1"/>
  <c r="Q77" i="15" s="1"/>
  <c r="M188" i="15"/>
  <c r="N188" i="15" s="1"/>
  <c r="O188" i="15" s="1"/>
  <c r="P188" i="15" s="1"/>
  <c r="Q188" i="15" s="1"/>
  <c r="M176" i="15"/>
  <c r="N176" i="15" s="1"/>
  <c r="O176" i="15" s="1"/>
  <c r="P176" i="15" s="1"/>
  <c r="Q176" i="15" s="1"/>
  <c r="M164" i="15"/>
  <c r="N164" i="15" s="1"/>
  <c r="O164" i="15" s="1"/>
  <c r="P164" i="15" s="1"/>
  <c r="Q164" i="15" s="1"/>
  <c r="M152" i="15"/>
  <c r="N152" i="15" s="1"/>
  <c r="O152" i="15" s="1"/>
  <c r="P152" i="15" s="1"/>
  <c r="Q152" i="15" s="1"/>
  <c r="M140" i="15"/>
  <c r="N140" i="15" s="1"/>
  <c r="O140" i="15" s="1"/>
  <c r="P140" i="15" s="1"/>
  <c r="Q140" i="15" s="1"/>
  <c r="M128" i="15"/>
  <c r="N128" i="15" s="1"/>
  <c r="O128" i="15" s="1"/>
  <c r="P128" i="15" s="1"/>
  <c r="Q128" i="15" s="1"/>
  <c r="M116" i="15"/>
  <c r="N116" i="15" s="1"/>
  <c r="O116" i="15" s="1"/>
  <c r="P116" i="15" s="1"/>
  <c r="Q116" i="15" s="1"/>
  <c r="M104" i="15"/>
  <c r="N104" i="15" s="1"/>
  <c r="O104" i="15" s="1"/>
  <c r="P104" i="15" s="1"/>
  <c r="Q104" i="15" s="1"/>
  <c r="M92" i="15"/>
  <c r="N92" i="15" s="1"/>
  <c r="O92" i="15" s="1"/>
  <c r="P92" i="15" s="1"/>
  <c r="Q92" i="15" s="1"/>
  <c r="M80" i="15"/>
  <c r="N80" i="15" s="1"/>
  <c r="O80" i="15" s="1"/>
  <c r="P80" i="15" s="1"/>
  <c r="Q80" i="15" s="1"/>
  <c r="M68" i="15"/>
  <c r="N68" i="15" s="1"/>
  <c r="O68" i="15" s="1"/>
  <c r="P68" i="15" s="1"/>
  <c r="Q68" i="15" s="1"/>
  <c r="M56" i="15"/>
  <c r="N56" i="15" s="1"/>
  <c r="O56" i="15" s="1"/>
  <c r="P56" i="15" s="1"/>
  <c r="Q56" i="15" s="1"/>
  <c r="M44" i="15"/>
  <c r="N44" i="15" s="1"/>
  <c r="O44" i="15" s="1"/>
  <c r="P44" i="15" s="1"/>
  <c r="Q44" i="15" s="1"/>
  <c r="M32" i="15"/>
  <c r="N32" i="15" s="1"/>
  <c r="O32" i="15" s="1"/>
  <c r="P32" i="15" s="1"/>
  <c r="Q32" i="15" s="1"/>
  <c r="M20" i="15"/>
  <c r="N20" i="15" s="1"/>
  <c r="O20" i="15" s="1"/>
  <c r="P20" i="15" s="1"/>
  <c r="Q20" i="15" s="1"/>
  <c r="M8" i="15"/>
  <c r="N8" i="15" s="1"/>
  <c r="O8" i="15" s="1"/>
  <c r="P8" i="15" s="1"/>
  <c r="Q8" i="15" s="1"/>
  <c r="K14" i="34"/>
  <c r="K37" i="34"/>
  <c r="K24" i="34"/>
  <c r="K57" i="34"/>
  <c r="J39" i="34"/>
  <c r="K21" i="34"/>
  <c r="K8" i="34"/>
  <c r="K33" i="34"/>
  <c r="J61" i="34"/>
  <c r="K54" i="33"/>
  <c r="J30" i="33"/>
  <c r="J29" i="33"/>
  <c r="J28" i="33"/>
  <c r="K30" i="33" l="1"/>
  <c r="J62" i="34"/>
  <c r="J63" i="34" s="1"/>
  <c r="K39" i="34"/>
  <c r="K61" i="34"/>
  <c r="K52" i="33"/>
  <c r="J10" i="33" l="1"/>
  <c r="J17" i="33"/>
  <c r="J50" i="33"/>
  <c r="J56" i="33" s="1"/>
  <c r="J24" i="33"/>
  <c r="J19" i="33"/>
  <c r="J9" i="33"/>
  <c r="J7" i="33"/>
  <c r="J35" i="33" s="1"/>
  <c r="K24" i="33" l="1"/>
  <c r="K50" i="33"/>
  <c r="K56" i="33" s="1"/>
  <c r="K17" i="33"/>
  <c r="K7" i="33"/>
  <c r="K35" i="33" l="1"/>
  <c r="R35" i="33"/>
  <c r="J57" i="33"/>
  <c r="J58" i="33" s="1"/>
  <c r="J37" i="32"/>
  <c r="K37" i="32" s="1"/>
  <c r="K35" i="32"/>
  <c r="J16" i="32"/>
  <c r="K16" i="32" s="1"/>
  <c r="J14" i="32"/>
  <c r="K14" i="32" s="1"/>
  <c r="J12" i="32"/>
  <c r="J11" i="32"/>
  <c r="J10" i="32"/>
  <c r="J9" i="32"/>
  <c r="J20" i="32" l="1"/>
  <c r="M16" i="32"/>
  <c r="J40" i="32"/>
  <c r="K40" i="32" s="1"/>
  <c r="K12" i="32"/>
  <c r="K7" i="32"/>
  <c r="J53" i="31"/>
  <c r="K53" i="31" s="1"/>
  <c r="J51" i="31"/>
  <c r="J50" i="31"/>
  <c r="J33" i="31"/>
  <c r="K33" i="31" s="1"/>
  <c r="J31" i="31"/>
  <c r="J30" i="31"/>
  <c r="J28" i="31"/>
  <c r="J27" i="31"/>
  <c r="J25" i="31"/>
  <c r="J24" i="31"/>
  <c r="J22" i="31"/>
  <c r="J21" i="31"/>
  <c r="N19" i="31"/>
  <c r="J7" i="31"/>
  <c r="K7" i="31" s="1"/>
  <c r="J19" i="30"/>
  <c r="J18" i="30"/>
  <c r="K20" i="32" l="1"/>
  <c r="K31" i="31"/>
  <c r="J41" i="32"/>
  <c r="J42" i="32" s="1"/>
  <c r="N17" i="31"/>
  <c r="J56" i="31"/>
  <c r="K22" i="31"/>
  <c r="K28" i="31"/>
  <c r="J57" i="31" s="1"/>
  <c r="K25" i="31"/>
  <c r="M25" i="31" s="1"/>
  <c r="J35" i="31"/>
  <c r="K35" i="31" s="1"/>
  <c r="K51" i="31"/>
  <c r="K56" i="31" s="1"/>
  <c r="K19" i="30"/>
  <c r="J58" i="31" l="1"/>
  <c r="J45" i="30" l="1"/>
  <c r="K45" i="30" s="1"/>
  <c r="J43" i="30" l="1"/>
  <c r="J42" i="30"/>
  <c r="J10" i="30"/>
  <c r="J25" i="30"/>
  <c r="J24" i="30"/>
  <c r="J22" i="30"/>
  <c r="J21" i="30"/>
  <c r="J12" i="30"/>
  <c r="J9" i="30"/>
  <c r="J20" i="29"/>
  <c r="J19" i="29"/>
  <c r="J18" i="29"/>
  <c r="J17" i="29"/>
  <c r="J40" i="29"/>
  <c r="J45" i="29" s="1"/>
  <c r="J15" i="29"/>
  <c r="J8" i="29"/>
  <c r="J7" i="29"/>
  <c r="N79" i="28"/>
  <c r="J24" i="28"/>
  <c r="K24" i="28" s="1"/>
  <c r="J17" i="28"/>
  <c r="K17" i="28" s="1"/>
  <c r="J49" i="28"/>
  <c r="K12" i="30" l="1"/>
  <c r="J27" i="30"/>
  <c r="J25" i="29"/>
  <c r="K25" i="29" s="1"/>
  <c r="K20" i="29"/>
  <c r="K15" i="29"/>
  <c r="J47" i="29" s="1"/>
  <c r="K10" i="30"/>
  <c r="K43" i="30"/>
  <c r="J48" i="30"/>
  <c r="K25" i="30"/>
  <c r="K16" i="30"/>
  <c r="K22" i="30"/>
  <c r="K40" i="29"/>
  <c r="K45" i="29" s="1"/>
  <c r="J53" i="28"/>
  <c r="K49" i="28"/>
  <c r="J14" i="28"/>
  <c r="J34" i="28" s="1"/>
  <c r="J23" i="27"/>
  <c r="J22" i="27"/>
  <c r="J21" i="27"/>
  <c r="J17" i="27"/>
  <c r="J9" i="27"/>
  <c r="J47" i="26"/>
  <c r="K47" i="26" s="1"/>
  <c r="J7" i="26"/>
  <c r="J29" i="26" s="1"/>
  <c r="J42" i="25"/>
  <c r="J40" i="25"/>
  <c r="J43" i="25"/>
  <c r="J18" i="25"/>
  <c r="J14" i="25"/>
  <c r="K27" i="30" l="1"/>
  <c r="M47" i="29"/>
  <c r="J55" i="28"/>
  <c r="K53" i="28"/>
  <c r="K14" i="28"/>
  <c r="K34" i="28" s="1"/>
  <c r="K23" i="27"/>
  <c r="K9" i="27"/>
  <c r="J25" i="27"/>
  <c r="K7" i="26"/>
  <c r="K29" i="26" s="1"/>
  <c r="K18" i="25"/>
  <c r="K19" i="27"/>
  <c r="K25" i="27" s="1"/>
  <c r="K48" i="30"/>
  <c r="J49" i="30"/>
  <c r="J50" i="30" s="1"/>
  <c r="K43" i="25"/>
  <c r="M43" i="25" s="1"/>
  <c r="K40" i="27"/>
  <c r="J45" i="25"/>
  <c r="J25" i="25"/>
  <c r="K40" i="25"/>
  <c r="J37" i="28" l="1"/>
  <c r="J45" i="27"/>
  <c r="J46" i="27" s="1"/>
  <c r="K25" i="25"/>
  <c r="M28" i="25"/>
  <c r="N78" i="28"/>
  <c r="K44" i="27"/>
  <c r="J50" i="26"/>
  <c r="M52" i="26" s="1"/>
  <c r="J46" i="25"/>
  <c r="J47" i="25" s="1"/>
  <c r="K45" i="25"/>
  <c r="J45" i="24"/>
  <c r="J47" i="24" s="1"/>
  <c r="J48" i="24" l="1"/>
  <c r="J49" i="24" s="1"/>
  <c r="J17" i="23"/>
  <c r="J15" i="23"/>
  <c r="J16" i="23"/>
  <c r="J10" i="23"/>
  <c r="O210" i="15" l="1"/>
  <c r="N210" i="15"/>
  <c r="J14" i="23" l="1"/>
  <c r="J11" i="23"/>
  <c r="J12" i="23"/>
  <c r="J13" i="23"/>
  <c r="J8" i="23"/>
  <c r="J9" i="23"/>
  <c r="J7" i="23"/>
  <c r="J6" i="23"/>
  <c r="J5" i="23"/>
  <c r="J4" i="23"/>
  <c r="F35" i="23"/>
  <c r="D200" i="15"/>
  <c r="L14" i="23" l="1"/>
  <c r="J35" i="23"/>
  <c r="J19" i="2" l="1"/>
  <c r="J14" i="2"/>
  <c r="J12" i="2"/>
  <c r="J9" i="2"/>
  <c r="J39" i="2"/>
  <c r="K39" i="2" s="1"/>
  <c r="K19" i="2" l="1"/>
  <c r="I200" i="15"/>
  <c r="I212" i="15" s="1"/>
  <c r="K12" i="2"/>
  <c r="J41" i="2"/>
  <c r="K41" i="2" s="1"/>
  <c r="P15" i="2" l="1"/>
  <c r="P16" i="2" s="1"/>
  <c r="J200" i="15"/>
  <c r="J7" i="2"/>
  <c r="J23" i="2" s="1"/>
  <c r="K7" i="2" l="1"/>
  <c r="J42" i="2" s="1"/>
  <c r="J201" i="15"/>
  <c r="K23" i="2" l="1"/>
  <c r="J43" i="2"/>
  <c r="J44" i="2" s="1"/>
</calcChain>
</file>

<file path=xl/sharedStrings.xml><?xml version="1.0" encoding="utf-8"?>
<sst xmlns="http://schemas.openxmlformats.org/spreadsheetml/2006/main" count="1059" uniqueCount="223">
  <si>
    <t>TEAMAGRO TRADING CORPORATION</t>
  </si>
  <si>
    <t>RECEIVING REPORTS</t>
  </si>
  <si>
    <t>DATE</t>
  </si>
  <si>
    <t>SUPPLIER</t>
  </si>
  <si>
    <t>REF</t>
  </si>
  <si>
    <t>QTY.</t>
  </si>
  <si>
    <t>UNIT</t>
  </si>
  <si>
    <t>DESCRIPTION</t>
  </si>
  <si>
    <t>UNIT PRICE</t>
  </si>
  <si>
    <t>SIZE</t>
  </si>
  <si>
    <t>AMOUNT</t>
  </si>
  <si>
    <t>AMT/DR</t>
  </si>
  <si>
    <t>CTNS</t>
  </si>
  <si>
    <t>RADISSON</t>
  </si>
  <si>
    <t>BUTACHLOR + PROPANIL - ACE 1000ml x 12</t>
  </si>
  <si>
    <t>Total</t>
  </si>
  <si>
    <t xml:space="preserve"> </t>
  </si>
  <si>
    <t>Prepared By:</t>
  </si>
  <si>
    <t>Checked By:</t>
  </si>
  <si>
    <t>Noted By:</t>
  </si>
  <si>
    <t>CRIS NIÑO ANGELO B. ACOSTA</t>
  </si>
  <si>
    <t>QTY</t>
  </si>
  <si>
    <t>TOTAL/DR</t>
  </si>
  <si>
    <t>TRIGREEN TRADING CORP.</t>
  </si>
  <si>
    <t>TEAMAGRO TRADING CORP.</t>
  </si>
  <si>
    <t>Prepared by:</t>
  </si>
  <si>
    <t>Checked by:</t>
  </si>
  <si>
    <t>CBA</t>
  </si>
  <si>
    <t>TEAMAGRO - JAN TOTAL:</t>
  </si>
  <si>
    <t>TRIGREEN - JAN TOTAL:</t>
  </si>
  <si>
    <t>MALATHION 57EC - TEAMAGRO - 1000ml x 12</t>
  </si>
  <si>
    <t>GLYPHOSATE 480 - GLYPHOSEL 1000ml x 12</t>
  </si>
  <si>
    <t>CLOTHIANIDIN 20SC - BLACKSPADE 500ml x 24</t>
  </si>
  <si>
    <t>GLYPHOSATE 480 - GLYPHOSEL 3.75L x 6</t>
  </si>
  <si>
    <t>DIURON 80WP - TEAMAGRO DIURON - 1000g x 12</t>
  </si>
  <si>
    <t>ALP</t>
  </si>
  <si>
    <t>CLOTHIANIDIN 20SC - BLACKSPADE 250ml x 36</t>
  </si>
  <si>
    <t>NO</t>
  </si>
  <si>
    <t>BATCH NO.</t>
  </si>
  <si>
    <t>TR 1850</t>
  </si>
  <si>
    <t>BISPYRIBAC - RAZER 10%SC - 250ml x 2 x 24</t>
  </si>
  <si>
    <t>BPN23007</t>
  </si>
  <si>
    <t>TR 1851</t>
  </si>
  <si>
    <t>TR 1857</t>
  </si>
  <si>
    <t>TR 1860</t>
  </si>
  <si>
    <t>Bots.</t>
  </si>
  <si>
    <t>ULTIMA 1000ml x 12</t>
  </si>
  <si>
    <t>ULTIMA BOT. x 1L</t>
  </si>
  <si>
    <t>RAZER 250ml x 2 x 24</t>
  </si>
  <si>
    <t>PRO23004</t>
  </si>
  <si>
    <t>BPN23009</t>
  </si>
  <si>
    <t>TR 1868</t>
  </si>
  <si>
    <t>PRO23005</t>
  </si>
  <si>
    <t>TR 1867</t>
  </si>
  <si>
    <t>UNIT COST</t>
  </si>
  <si>
    <t>DR 12363</t>
  </si>
  <si>
    <t>ib</t>
  </si>
  <si>
    <t>BPN23004</t>
  </si>
  <si>
    <t>TR 1871</t>
  </si>
  <si>
    <t>PRO23006</t>
  </si>
  <si>
    <t>TEXICON</t>
  </si>
  <si>
    <t>TR 1880</t>
  </si>
  <si>
    <t>PROFENOFOS 500EC - ULTIMA 1000ml x 12</t>
  </si>
  <si>
    <t>PRO23007</t>
  </si>
  <si>
    <t>TR 1886</t>
  </si>
  <si>
    <t>TEAMAGRO - FEB TOTAL:</t>
  </si>
  <si>
    <t>VENUS G. RODIL</t>
  </si>
  <si>
    <t>ALISTAIR L. PEREZ</t>
  </si>
  <si>
    <t>TEAMAGRO - MAR TOTAL:</t>
  </si>
  <si>
    <t>TRIGREEN - MAR TOTAL:</t>
  </si>
  <si>
    <t>TEAMAGRO - APR TOTAL:</t>
  </si>
  <si>
    <t>TRIGREEN - APR TOTAL:</t>
  </si>
  <si>
    <t>AGCHEM</t>
  </si>
  <si>
    <t>CARBARYL 85WP - QUADRO - 1000g x 10</t>
  </si>
  <si>
    <t>TEAMAGRO - MAY TOTAL:</t>
  </si>
  <si>
    <t>TRIGREEN - MAY TOTAL:</t>
  </si>
  <si>
    <t>BUTACHLOR + PROPANIL - ACE 500ml x 24</t>
  </si>
  <si>
    <t>TEAMAGRO - JUNE TOTAL:</t>
  </si>
  <si>
    <t>TRIGREEN - JUNE TOTAL:</t>
  </si>
  <si>
    <t>LAMBDACYHALOTHRIN 2.5EC - JACKPOT 1000ml x 12</t>
  </si>
  <si>
    <t>CYHALOFOP-BUTYL + BYSPYRIBAC - GAVEL PLUS 200 OD 1000ml x 12</t>
  </si>
  <si>
    <t>CYHALOFOP-BUTYL + BYSPYRIBAC - GAVEL PLUS 200 OD 500ml x 24</t>
  </si>
  <si>
    <t>BUTACHLOR + PROPANIL - ACE 250ml x 36</t>
  </si>
  <si>
    <t>TEAMAGRO - JULY TOTAL:</t>
  </si>
  <si>
    <t>TR 1924</t>
  </si>
  <si>
    <t>GLY24042</t>
  </si>
  <si>
    <t>GLYPHOSATE 480SL - GLYPHOSEL 6x1Gal.</t>
  </si>
  <si>
    <t>2,4D ESTER - TEAMAGRO - 1000ml x 12</t>
  </si>
  <si>
    <t>2,4D ESTER - TEAMAGRO - 500ml x 24</t>
  </si>
  <si>
    <t>MALATHION 57EC - TEAMAGRO - 500ml x 24</t>
  </si>
  <si>
    <t>CALGEN 1000ml x 12</t>
  </si>
  <si>
    <t>TEAMAGRO - AUGUST TOTAL:</t>
  </si>
  <si>
    <t>FOR THE MONTH ENDED:  SEPTEMBER 30, 2024</t>
  </si>
  <si>
    <t>TRIGREEN - JULY TOTAL:</t>
  </si>
  <si>
    <t>TRIGREEN - AUGUST TOTAL:</t>
  </si>
  <si>
    <t>TR 1934</t>
  </si>
  <si>
    <t>CARBARYL 85WP - QUADRO - 10x4x250G</t>
  </si>
  <si>
    <t>CAR24010</t>
  </si>
  <si>
    <t>GLUFOSINATE AMMONIUM 15SL - GLUFOSAM 1000ml x 12</t>
  </si>
  <si>
    <t>GLUFOSINATE AMMONIUM 15SL - GLUFOSAM GAL x 6</t>
  </si>
  <si>
    <t>TEAMAGRO - SEPTEMBER TOTAL:</t>
  </si>
  <si>
    <t>TRIGREEN - SEPTEMBER TOTAL:</t>
  </si>
  <si>
    <t>TEAMAGRO - OCTOBER TOTAL:</t>
  </si>
  <si>
    <t>TRIGREEN - OCTOBER TOTAL:</t>
  </si>
  <si>
    <t>TR 1943</t>
  </si>
  <si>
    <t>CYHALOFOP-BUTYL 100EC - LASTCARD 1000ml x 12</t>
  </si>
  <si>
    <t>TR 1945</t>
  </si>
  <si>
    <t>CHY24001</t>
  </si>
  <si>
    <t>CAR24013</t>
  </si>
  <si>
    <t>MALATHION 57EC - TEAMAGRO - 250ml x 36</t>
  </si>
  <si>
    <t>TEAMAGRO - NOVEMBER TOTAL:</t>
  </si>
  <si>
    <t>TRIGREEN - NOVEMBER TOTAL:</t>
  </si>
  <si>
    <t>NICLOSAMIDE 70WP - TRICE 350g x 24</t>
  </si>
  <si>
    <t>2,4D ESTER - TEAMAGRO - 250ml x 36</t>
  </si>
  <si>
    <t>TRIGREEN - DECEMBER TOTAL:</t>
  </si>
  <si>
    <t>TEAMAGRO - DECEMBER TOTAL:</t>
  </si>
  <si>
    <t>FOR THE MONTH ENDED:  JANUARY 31, 2025</t>
  </si>
  <si>
    <t>MANCOZEB 80WP - TRIZEB - 1000g x 12</t>
  </si>
  <si>
    <t>LAMBDACYHALOTHRIN 2.5 EC - JACKPOT - 500ml x 24</t>
  </si>
  <si>
    <t>MANCOZEB 80WP - PACAZEB - 1000g x 12</t>
  </si>
  <si>
    <t>CYPERMETHRIN 5EC - KING 1000ml x 12</t>
  </si>
  <si>
    <t>SUREWIN 50WP 100g x 50</t>
  </si>
  <si>
    <t>Column1</t>
  </si>
  <si>
    <t>Column2</t>
  </si>
  <si>
    <t>Column3</t>
  </si>
  <si>
    <t>Column4</t>
  </si>
  <si>
    <t>Column5</t>
  </si>
  <si>
    <t>Column6</t>
  </si>
  <si>
    <t>Column7</t>
  </si>
  <si>
    <t>LAMBDACYHALOTHRIN+THIAMETOXAM 247ZC-TRIANGLE 500ml x 24</t>
  </si>
  <si>
    <t>LAMBDACYHALOTHRIN+THIAMETOXAM 247ZC-TRIANGLE 250ml x 36</t>
  </si>
  <si>
    <t>CARTAP 50 SP-TRIBAND 500g x 2</t>
  </si>
  <si>
    <t>2,4-D AMINE 40-TEAMAGRO 1gal x 6</t>
  </si>
  <si>
    <t>TRIO-PLUS 15-15-30 1000g x 12</t>
  </si>
  <si>
    <t>TRIGREEN - FEB TOTAL:</t>
  </si>
  <si>
    <t>ok</t>
  </si>
  <si>
    <t>DR #</t>
  </si>
  <si>
    <t>INV #</t>
  </si>
  <si>
    <t>GROSS AMOUNT</t>
  </si>
  <si>
    <t>W. TAX</t>
  </si>
  <si>
    <t>NET AMOUNT</t>
  </si>
  <si>
    <t>TOTAL</t>
  </si>
  <si>
    <t>TRIZEB 1000g x 12</t>
  </si>
  <si>
    <t>Declared Sales</t>
  </si>
  <si>
    <t>Total Sales</t>
  </si>
  <si>
    <t>KEMISTAR</t>
  </si>
  <si>
    <t>BLACKSPADE 20 SC 500ml x 24</t>
  </si>
  <si>
    <t>BLACKSPADE 20 SC 250ml x 36</t>
  </si>
  <si>
    <t>ATTRAK-KILL 6% PELLET 1000g x 12</t>
  </si>
  <si>
    <t>FOR THE MONTH ENDED:  AUGUST 31, 2025</t>
  </si>
  <si>
    <t>NICLOSAMIDE 25EC - QUEEN 1000ml x 12</t>
  </si>
  <si>
    <t>FOR THE MONTH ENDED:  SEPTEMBER 30, 2025</t>
  </si>
  <si>
    <t>September 2025 Summary of Sales Invoice</t>
  </si>
  <si>
    <t>FOR THE MONTH ENDED:  OCTOBER 31, 2025</t>
  </si>
  <si>
    <t>2,4D AMINE - TEAMAGRO - 500ml x 24</t>
  </si>
  <si>
    <t>NICLOSAMIDE - QUEEN 1000ml  x 12</t>
  </si>
  <si>
    <t>October 2025 Summary of Sales Invoice</t>
  </si>
  <si>
    <t>FOR THE MONTH ENDED:  NOVEMBER 30, 2025</t>
  </si>
  <si>
    <t>LAMBDACYHALOTHRIN 2.5EC - JACKPOT 250ml x 36</t>
  </si>
  <si>
    <t>CYPERMETHRIN 5EC - KING 250ml x 36</t>
  </si>
  <si>
    <t>MANCOZEB 80WP - PACAZEB 1000kg x 12</t>
  </si>
  <si>
    <t xml:space="preserve">                                                                                                                                                                                    </t>
  </si>
  <si>
    <t>November 2025 Summary of Sales Invoice</t>
  </si>
  <si>
    <t>FOR THE MONTH ENDED:  DECEMBER 31, 2025</t>
  </si>
  <si>
    <t>December 2025 Summary of Sales Invoice</t>
  </si>
  <si>
    <t>FOR THE MONTH ENDED:  JANUARY 31, 2026</t>
  </si>
  <si>
    <t>DR 19966</t>
  </si>
  <si>
    <t>DR 14407</t>
  </si>
  <si>
    <t>DR 14408</t>
  </si>
  <si>
    <t>DR 14437</t>
  </si>
  <si>
    <t>January 2026 Summary of Sales Invoice</t>
  </si>
  <si>
    <t>FOR THE YEAR ENDED:  DECEMBER 31, 2026</t>
  </si>
  <si>
    <t>FOR THE MONTH ENDED:  FEBRUARY 28, 2026</t>
  </si>
  <si>
    <t>DR 14461</t>
  </si>
  <si>
    <t>DR 14462</t>
  </si>
  <si>
    <t>DR 20111</t>
  </si>
  <si>
    <t>ATRAK-KILL 1000g x 12</t>
  </si>
  <si>
    <t>DR 14480</t>
  </si>
  <si>
    <t>CHLORANTRANILIPROLE 50SC - ECOGUARD 500ml x 24</t>
  </si>
  <si>
    <t>CHLORANTRANILIPROLE 50SC - ECOGUARD 250ml x 36</t>
  </si>
  <si>
    <t>TAC 34651</t>
  </si>
  <si>
    <t>TRIOPLUS 15-15-30 1000g x 12</t>
  </si>
  <si>
    <t>CTN</t>
  </si>
  <si>
    <t>METHOMYL 40 SP - SOLITAIRE 100g x 5 x 12</t>
  </si>
  <si>
    <t>DR 14487</t>
  </si>
  <si>
    <t>DR 14509</t>
  </si>
  <si>
    <t>February 2026 Summary of Sales Invoice</t>
  </si>
  <si>
    <t>FOR THE MONTH ENDED:  MARCH 31, 2026</t>
  </si>
  <si>
    <t>March 2026 Summary of Sales Invoice</t>
  </si>
  <si>
    <t>TEAMAGRO DIURON 1000g x 12</t>
  </si>
  <si>
    <t>ACE 1000ml x 12</t>
  </si>
  <si>
    <t>FOR THE MONTH ENDED:  APRIL 30, 2026</t>
  </si>
  <si>
    <t>April 2026 Summary of Sales Invoice</t>
  </si>
  <si>
    <t>CYPHERMETHRIN 5EC - LIBRA 1000ml x 12</t>
  </si>
  <si>
    <t>LAMBDACYHALOTHRIN 2.5 EC - JACKPOT - 250ml x 36</t>
  </si>
  <si>
    <t>DIURON 80WP - TEAMAGRO DIURON 1000g x 12</t>
  </si>
  <si>
    <t>TAC 34900</t>
  </si>
  <si>
    <t>BOXES</t>
  </si>
  <si>
    <t>FOR THE MONTH ENDED:  MAY 31, 2026</t>
  </si>
  <si>
    <t>May 2026 Summary of Sales Invoice</t>
  </si>
  <si>
    <t>2,4-D AMINE 1000ml x 12</t>
  </si>
  <si>
    <t>2,4-D AMINE gal 3.75L x 6</t>
  </si>
  <si>
    <t>ATRAK-KILL 1000ml x 12</t>
  </si>
  <si>
    <t>FOR THE MONTH ENDED:  JUNE 30, 2026</t>
  </si>
  <si>
    <t>MANCOZEB 80WP - TRIZEB 1000g x 12</t>
  </si>
  <si>
    <t>MANCOZEB 80WP - PACAZEB 1000g x 12</t>
  </si>
  <si>
    <t>MANCOZEB 80WP - PACAZEB 3LBS x 8</t>
  </si>
  <si>
    <t>June 2026 Summary of Sales Invoice</t>
  </si>
  <si>
    <t>LAMBDACYHALOTHRIN+THIAMETOXAM 247ZC-TRIANGLE 1000ml x 12</t>
  </si>
  <si>
    <t>FOR THE MONTH ENDED:  JULY 31, 2026</t>
  </si>
  <si>
    <t>July 2026 Summary of Sales Invoice</t>
  </si>
  <si>
    <t>BLACKSPADE 20 SC 1000ml x 12</t>
  </si>
  <si>
    <t>CYPERMETHRIN 5EC - KING 500ml x 24</t>
  </si>
  <si>
    <t>2,4-D AMINE 500ml x 24</t>
  </si>
  <si>
    <t>TEAMAGRO ATRAZINE 80WP 1000g x 12</t>
  </si>
  <si>
    <t>METHOMYL 40SP - SOLITAIRE 12 x 5 x 100g</t>
  </si>
  <si>
    <t>FOR THE MONTH ENDED:  AUGUST 31, 2026</t>
  </si>
  <si>
    <t>August 2026 Summary of Sales Invoice</t>
  </si>
  <si>
    <t>DR 14809</t>
  </si>
  <si>
    <t>GTR 8262</t>
  </si>
  <si>
    <t>DR 21095</t>
  </si>
  <si>
    <t>2,4-D ESTER 1000ml x 12</t>
  </si>
  <si>
    <t>ACE 500ml x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</si>
</sst>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[$-409]dd\-mmm\-yy;@"/>
    <numFmt numFmtId="167" formatCode="0.00000%"/>
    <numFmt numFmtId="168" formatCode="[$-409]d\-mmm\-yyyy;@"/>
    <numFmt numFmtId="169" formatCode="m/d/yyyy;@"/>
    <numFmt numFmtId="170" formatCode="_(* #,##0_);_(* \(#,##0\);_(* &quot;-&quot;??_);_(@_)"/>
  </numFmts>
  <fonts count="2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1"/>
      <name val="Cambria"/>
      <family val="1"/>
    </font>
    <font>
      <b/>
      <sz val="11"/>
      <color rgb="FF000000"/>
      <name val="Cambria"/>
      <family val="1"/>
    </font>
    <font>
      <sz val="10"/>
      <color theme="1"/>
      <name val="Cambria"/>
      <family val="1"/>
    </font>
    <font>
      <sz val="10"/>
      <name val="Arial"/>
      <family val="2"/>
    </font>
    <font>
      <b/>
      <sz val="11"/>
      <name val="Cambria"/>
      <family val="1"/>
    </font>
    <font>
      <sz val="10"/>
      <color rgb="FFC00000"/>
      <name val="Cambria"/>
      <family val="1"/>
    </font>
    <font>
      <sz val="11"/>
      <color rgb="FFFF0000"/>
      <name val="Cambria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2"/>
      <color rgb="FFFF0000"/>
      <name val="Cambria"/>
      <family val="1"/>
    </font>
    <font>
      <sz val="8"/>
      <name val="Arial"/>
      <family val="2"/>
    </font>
    <font>
      <b/>
      <sz val="11"/>
      <color theme="1"/>
      <name val="Cambria"/>
      <family val="1"/>
    </font>
    <font>
      <sz val="12"/>
      <name val="Cambria"/>
      <family val="1"/>
    </font>
    <font>
      <b/>
      <sz val="11"/>
      <color rgb="FFFF0000"/>
      <name val="Cambria"/>
      <family val="1"/>
    </font>
    <font>
      <b/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1">
    <xf numFmtId="0" fontId="0" fillId="0" borderId="0"/>
    <xf numFmtId="43" fontId="1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201">
    <xf numFmtId="0" fontId="0" fillId="0" borderId="0" xfId="0"/>
    <xf numFmtId="165" fontId="4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43" fontId="5" fillId="0" borderId="0" xfId="3" applyFont="1" applyAlignment="1">
      <alignment vertical="center"/>
    </xf>
    <xf numFmtId="0" fontId="6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165" fontId="4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43" fontId="4" fillId="0" borderId="0" xfId="3" applyFont="1" applyAlignment="1">
      <alignment horizontal="center" vertical="center"/>
    </xf>
    <xf numFmtId="43" fontId="6" fillId="0" borderId="0" xfId="3" applyFont="1" applyAlignment="1">
      <alignment vertical="center"/>
    </xf>
    <xf numFmtId="166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3" fontId="7" fillId="0" borderId="0" xfId="3" applyFont="1" applyAlignment="1">
      <alignment horizontal="center" vertical="center"/>
    </xf>
    <xf numFmtId="43" fontId="8" fillId="0" borderId="0" xfId="3" applyFont="1" applyAlignment="1">
      <alignment horizontal="center" vertical="center"/>
    </xf>
    <xf numFmtId="43" fontId="9" fillId="0" borderId="0" xfId="3" applyFont="1" applyAlignment="1">
      <alignment horizontal="center" vertical="center"/>
    </xf>
    <xf numFmtId="0" fontId="10" fillId="0" borderId="0" xfId="2" applyFont="1" applyAlignment="1">
      <alignment vertical="center"/>
    </xf>
    <xf numFmtId="43" fontId="10" fillId="0" borderId="0" xfId="3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3" fontId="7" fillId="0" borderId="0" xfId="1" applyFont="1" applyAlignment="1">
      <alignment horizontal="center" vertical="center"/>
    </xf>
    <xf numFmtId="43" fontId="8" fillId="0" borderId="0" xfId="1" applyFont="1" applyAlignment="1">
      <alignment vertical="center"/>
    </xf>
    <xf numFmtId="43" fontId="8" fillId="0" borderId="0" xfId="1" applyFont="1" applyAlignment="1">
      <alignment horizontal="center" vertical="center"/>
    </xf>
    <xf numFmtId="43" fontId="12" fillId="0" borderId="0" xfId="3" applyFont="1" applyAlignment="1">
      <alignment horizontal="center" vertical="center"/>
    </xf>
    <xf numFmtId="43" fontId="13" fillId="2" borderId="0" xfId="3" applyFont="1" applyFill="1" applyAlignment="1">
      <alignment vertical="center"/>
    </xf>
    <xf numFmtId="0" fontId="13" fillId="2" borderId="0" xfId="2" applyFont="1" applyFill="1" applyAlignment="1">
      <alignment vertical="center"/>
    </xf>
    <xf numFmtId="0" fontId="8" fillId="0" borderId="0" xfId="0" applyFont="1" applyAlignment="1">
      <alignment vertical="center"/>
    </xf>
    <xf numFmtId="43" fontId="6" fillId="0" borderId="0" xfId="2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6" fontId="15" fillId="0" borderId="0" xfId="4" applyNumberFormat="1" applyFont="1" applyAlignment="1">
      <alignment horizontal="center" vertical="center"/>
    </xf>
    <xf numFmtId="0" fontId="15" fillId="0" borderId="0" xfId="4" applyFont="1" applyAlignment="1">
      <alignment vertical="center"/>
    </xf>
    <xf numFmtId="0" fontId="15" fillId="0" borderId="0" xfId="4" applyFont="1" applyAlignment="1">
      <alignment horizontal="center" vertical="center"/>
    </xf>
    <xf numFmtId="43" fontId="16" fillId="0" borderId="0" xfId="5" applyFont="1" applyFill="1" applyAlignment="1">
      <alignment horizontal="center" vertical="center"/>
    </xf>
    <xf numFmtId="43" fontId="15" fillId="0" borderId="0" xfId="5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165" fontId="6" fillId="0" borderId="0" xfId="2" applyNumberFormat="1" applyFont="1" applyAlignment="1">
      <alignment horizontal="center" vertical="center"/>
    </xf>
    <xf numFmtId="165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12" fillId="0" borderId="0" xfId="2" applyFont="1" applyAlignment="1">
      <alignment vertical="center"/>
    </xf>
    <xf numFmtId="43" fontId="7" fillId="0" borderId="0" xfId="3" applyFont="1" applyAlignment="1">
      <alignment vertical="center"/>
    </xf>
    <xf numFmtId="43" fontId="9" fillId="0" borderId="0" xfId="2" applyNumberFormat="1" applyFont="1" applyAlignment="1">
      <alignment vertical="center"/>
    </xf>
    <xf numFmtId="0" fontId="10" fillId="0" borderId="0" xfId="2" applyFont="1" applyAlignment="1">
      <alignment horizontal="center" vertical="center" wrapText="1"/>
    </xf>
    <xf numFmtId="165" fontId="5" fillId="0" borderId="0" xfId="2" applyNumberFormat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7" fillId="0" borderId="0" xfId="2" applyFont="1" applyAlignment="1">
      <alignment vertical="center"/>
    </xf>
    <xf numFmtId="43" fontId="18" fillId="0" borderId="0" xfId="3" applyFont="1" applyAlignment="1">
      <alignment horizontal="center" vertical="center"/>
    </xf>
    <xf numFmtId="43" fontId="4" fillId="0" borderId="0" xfId="2" applyNumberFormat="1" applyFont="1" applyAlignment="1">
      <alignment vertical="center"/>
    </xf>
    <xf numFmtId="0" fontId="18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43" fontId="8" fillId="0" borderId="0" xfId="3" applyFont="1" applyAlignment="1">
      <alignment horizontal="left" vertical="center"/>
    </xf>
    <xf numFmtId="43" fontId="4" fillId="0" borderId="0" xfId="3" applyFont="1" applyAlignment="1">
      <alignment vertical="center"/>
    </xf>
    <xf numFmtId="167" fontId="6" fillId="0" borderId="0" xfId="6" applyNumberFormat="1" applyFont="1" applyAlignment="1">
      <alignment vertical="center"/>
    </xf>
    <xf numFmtId="43" fontId="8" fillId="0" borderId="0" xfId="0" applyNumberFormat="1" applyFont="1" applyAlignment="1">
      <alignment vertical="center"/>
    </xf>
    <xf numFmtId="43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68" fontId="8" fillId="0" borderId="5" xfId="0" applyNumberFormat="1" applyFont="1" applyBorder="1" applyAlignment="1">
      <alignment horizontal="center" vertical="center"/>
    </xf>
    <xf numFmtId="43" fontId="8" fillId="0" borderId="6" xfId="0" applyNumberFormat="1" applyFont="1" applyBorder="1" applyAlignment="1">
      <alignment vertical="center"/>
    </xf>
    <xf numFmtId="43" fontId="12" fillId="0" borderId="6" xfId="0" applyNumberFormat="1" applyFont="1" applyBorder="1" applyAlignment="1">
      <alignment vertical="center"/>
    </xf>
    <xf numFmtId="168" fontId="8" fillId="0" borderId="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3" fontId="12" fillId="0" borderId="1" xfId="0" applyNumberFormat="1" applyFont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3" fontId="8" fillId="0" borderId="1" xfId="0" applyNumberFormat="1" applyFont="1" applyBorder="1" applyAlignment="1">
      <alignment horizontal="center" vertical="center"/>
    </xf>
    <xf numFmtId="43" fontId="8" fillId="0" borderId="1" xfId="0" applyNumberFormat="1" applyFont="1" applyBorder="1" applyAlignment="1">
      <alignment vertical="center"/>
    </xf>
    <xf numFmtId="43" fontId="12" fillId="0" borderId="1" xfId="0" applyNumberFormat="1" applyFont="1" applyBorder="1" applyAlignment="1">
      <alignment vertical="center"/>
    </xf>
    <xf numFmtId="168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43" fontId="12" fillId="0" borderId="4" xfId="0" applyNumberFormat="1" applyFont="1" applyBorder="1" applyAlignment="1">
      <alignment vertical="center"/>
    </xf>
    <xf numFmtId="43" fontId="12" fillId="0" borderId="10" xfId="0" applyNumberFormat="1" applyFont="1" applyBorder="1" applyAlignment="1">
      <alignment vertical="center"/>
    </xf>
    <xf numFmtId="168" fontId="8" fillId="0" borderId="1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43" fontId="8" fillId="0" borderId="12" xfId="0" applyNumberFormat="1" applyFont="1" applyBorder="1" applyAlignment="1">
      <alignment horizontal="center" vertical="center"/>
    </xf>
    <xf numFmtId="43" fontId="12" fillId="0" borderId="12" xfId="0" applyNumberFormat="1" applyFont="1" applyBorder="1" applyAlignment="1">
      <alignment horizontal="right" vertical="center"/>
    </xf>
    <xf numFmtId="168" fontId="12" fillId="0" borderId="0" xfId="0" applyNumberFormat="1" applyFont="1" applyAlignment="1">
      <alignment horizontal="left" vertical="center"/>
    </xf>
    <xf numFmtId="43" fontId="8" fillId="0" borderId="4" xfId="0" applyNumberFormat="1" applyFont="1" applyBorder="1" applyAlignment="1">
      <alignment vertical="center"/>
    </xf>
    <xf numFmtId="43" fontId="8" fillId="0" borderId="13" xfId="0" applyNumberFormat="1" applyFont="1" applyBorder="1" applyAlignment="1">
      <alignment horizontal="center" vertical="center"/>
    </xf>
    <xf numFmtId="43" fontId="8" fillId="0" borderId="13" xfId="0" applyNumberFormat="1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43" fontId="19" fillId="2" borderId="14" xfId="0" applyNumberFormat="1" applyFont="1" applyFill="1" applyBorder="1" applyAlignment="1">
      <alignment vertical="center"/>
    </xf>
    <xf numFmtId="166" fontId="6" fillId="0" borderId="0" xfId="4" applyNumberFormat="1" applyFont="1" applyAlignment="1">
      <alignment horizontal="center" vertical="center"/>
    </xf>
    <xf numFmtId="0" fontId="6" fillId="0" borderId="0" xfId="4" applyFont="1" applyAlignment="1">
      <alignment vertical="center"/>
    </xf>
    <xf numFmtId="0" fontId="6" fillId="0" borderId="0" xfId="4" applyFont="1" applyAlignment="1">
      <alignment horizontal="center" vertical="center"/>
    </xf>
    <xf numFmtId="43" fontId="7" fillId="0" borderId="0" xfId="5" applyFont="1" applyFill="1" applyAlignment="1">
      <alignment horizontal="center" vertical="center"/>
    </xf>
    <xf numFmtId="43" fontId="6" fillId="0" borderId="11" xfId="0" applyNumberFormat="1" applyFont="1" applyBorder="1" applyAlignment="1">
      <alignment vertical="center"/>
    </xf>
    <xf numFmtId="43" fontId="6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9" fontId="22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9" fontId="22" fillId="0" borderId="13" xfId="0" applyNumberFormat="1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5" xfId="0" applyFont="1" applyBorder="1" applyAlignment="1">
      <alignment horizontal="center" vertical="center"/>
    </xf>
    <xf numFmtId="169" fontId="22" fillId="0" borderId="15" xfId="0" applyNumberFormat="1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169" fontId="22" fillId="0" borderId="16" xfId="0" applyNumberFormat="1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2" fillId="0" borderId="1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69" fontId="22" fillId="0" borderId="12" xfId="0" applyNumberFormat="1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69" fontId="22" fillId="0" borderId="0" xfId="0" applyNumberFormat="1" applyFont="1" applyAlignment="1">
      <alignment vertical="center"/>
    </xf>
    <xf numFmtId="0" fontId="19" fillId="2" borderId="14" xfId="0" applyFont="1" applyFill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2" fillId="0" borderId="13" xfId="0" applyNumberFormat="1" applyFont="1" applyBorder="1" applyAlignment="1">
      <alignment vertical="center"/>
    </xf>
    <xf numFmtId="164" fontId="22" fillId="0" borderId="15" xfId="0" applyNumberFormat="1" applyFont="1" applyBorder="1" applyAlignment="1">
      <alignment vertical="center"/>
    </xf>
    <xf numFmtId="164" fontId="22" fillId="0" borderId="16" xfId="0" applyNumberFormat="1" applyFont="1" applyBorder="1" applyAlignment="1">
      <alignment vertical="center"/>
    </xf>
    <xf numFmtId="164" fontId="22" fillId="0" borderId="12" xfId="0" applyNumberFormat="1" applyFont="1" applyBorder="1" applyAlignment="1">
      <alignment vertical="center"/>
    </xf>
    <xf numFmtId="164" fontId="22" fillId="0" borderId="0" xfId="0" applyNumberFormat="1" applyFont="1" applyAlignment="1">
      <alignment vertical="center"/>
    </xf>
    <xf numFmtId="2" fontId="22" fillId="0" borderId="1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" fontId="8" fillId="0" borderId="0" xfId="0" applyNumberFormat="1" applyFont="1" applyAlignment="1">
      <alignment vertical="center"/>
    </xf>
    <xf numFmtId="43" fontId="6" fillId="0" borderId="1" xfId="0" applyNumberFormat="1" applyFont="1" applyBorder="1" applyAlignment="1">
      <alignment vertical="center"/>
    </xf>
    <xf numFmtId="43" fontId="6" fillId="0" borderId="1" xfId="0" applyNumberFormat="1" applyFont="1" applyBorder="1" applyAlignment="1">
      <alignment horizontal="center" vertical="center"/>
    </xf>
    <xf numFmtId="43" fontId="21" fillId="0" borderId="4" xfId="0" applyNumberFormat="1" applyFont="1" applyBorder="1" applyAlignment="1">
      <alignment vertical="center"/>
    </xf>
    <xf numFmtId="43" fontId="21" fillId="0" borderId="10" xfId="0" applyNumberFormat="1" applyFont="1" applyBorder="1" applyAlignment="1">
      <alignment vertical="center"/>
    </xf>
    <xf numFmtId="43" fontId="21" fillId="0" borderId="6" xfId="0" applyNumberFormat="1" applyFont="1" applyBorder="1" applyAlignment="1">
      <alignment vertical="center"/>
    </xf>
    <xf numFmtId="43" fontId="21" fillId="0" borderId="1" xfId="0" applyNumberFormat="1" applyFont="1" applyBorder="1" applyAlignment="1">
      <alignment vertical="center"/>
    </xf>
    <xf numFmtId="43" fontId="14" fillId="0" borderId="1" xfId="0" applyNumberFormat="1" applyFont="1" applyBorder="1" applyAlignment="1">
      <alignment vertical="center"/>
    </xf>
    <xf numFmtId="168" fontId="8" fillId="0" borderId="0" xfId="0" applyNumberFormat="1" applyFont="1" applyAlignment="1">
      <alignment vertical="center"/>
    </xf>
    <xf numFmtId="43" fontId="23" fillId="0" borderId="10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168" fontId="8" fillId="0" borderId="7" xfId="0" applyNumberFormat="1" applyFont="1" applyBorder="1" applyAlignment="1">
      <alignment vertical="center"/>
    </xf>
    <xf numFmtId="168" fontId="8" fillId="0" borderId="8" xfId="0" applyNumberFormat="1" applyFont="1" applyBorder="1" applyAlignment="1">
      <alignment vertical="center"/>
    </xf>
    <xf numFmtId="43" fontId="10" fillId="0" borderId="0" xfId="2" applyNumberFormat="1" applyFont="1" applyAlignment="1">
      <alignment vertical="center"/>
    </xf>
    <xf numFmtId="43" fontId="13" fillId="2" borderId="0" xfId="2" applyNumberFormat="1" applyFont="1" applyFill="1" applyAlignment="1">
      <alignment horizontal="center" vertical="center"/>
    </xf>
    <xf numFmtId="43" fontId="6" fillId="0" borderId="6" xfId="0" applyNumberFormat="1" applyFont="1" applyBorder="1" applyAlignment="1">
      <alignment vertical="center"/>
    </xf>
    <xf numFmtId="43" fontId="21" fillId="0" borderId="1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8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43" fontId="8" fillId="0" borderId="16" xfId="0" applyNumberFormat="1" applyFont="1" applyBorder="1" applyAlignment="1">
      <alignment vertical="center"/>
    </xf>
    <xf numFmtId="43" fontId="8" fillId="0" borderId="16" xfId="0" applyNumberFormat="1" applyFont="1" applyBorder="1" applyAlignment="1">
      <alignment horizontal="center" vertical="center"/>
    </xf>
    <xf numFmtId="43" fontId="8" fillId="0" borderId="12" xfId="0" applyNumberFormat="1" applyFont="1" applyBorder="1" applyAlignment="1">
      <alignment vertical="center"/>
    </xf>
    <xf numFmtId="43" fontId="21" fillId="0" borderId="13" xfId="0" applyNumberFormat="1" applyFont="1" applyBorder="1" applyAlignment="1">
      <alignment vertical="center"/>
    </xf>
    <xf numFmtId="43" fontId="24" fillId="0" borderId="14" xfId="0" applyNumberFormat="1" applyFont="1" applyBorder="1" applyAlignment="1">
      <alignment vertical="center"/>
    </xf>
    <xf numFmtId="43" fontId="8" fillId="0" borderId="15" xfId="0" applyNumberFormat="1" applyFont="1" applyBorder="1" applyAlignment="1">
      <alignment horizontal="center" vertical="center"/>
    </xf>
    <xf numFmtId="168" fontId="8" fillId="0" borderId="13" xfId="0" applyNumberFormat="1" applyFont="1" applyBorder="1" applyAlignment="1">
      <alignment horizontal="center" vertical="center"/>
    </xf>
    <xf numFmtId="43" fontId="21" fillId="0" borderId="16" xfId="0" applyNumberFormat="1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43" fontId="8" fillId="0" borderId="15" xfId="0" applyNumberFormat="1" applyFont="1" applyBorder="1" applyAlignment="1">
      <alignment vertical="center"/>
    </xf>
    <xf numFmtId="43" fontId="23" fillId="0" borderId="15" xfId="0" applyNumberFormat="1" applyFont="1" applyBorder="1" applyAlignment="1">
      <alignment vertical="center"/>
    </xf>
    <xf numFmtId="43" fontId="23" fillId="0" borderId="1" xfId="0" applyNumberFormat="1" applyFont="1" applyBorder="1" applyAlignment="1">
      <alignment vertical="center"/>
    </xf>
    <xf numFmtId="43" fontId="23" fillId="0" borderId="6" xfId="0" applyNumberFormat="1" applyFont="1" applyBorder="1" applyAlignment="1">
      <alignment vertical="center"/>
    </xf>
    <xf numFmtId="43" fontId="23" fillId="0" borderId="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168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10" fontId="8" fillId="0" borderId="0" xfId="0" applyNumberFormat="1" applyFont="1" applyAlignment="1">
      <alignment vertical="center"/>
    </xf>
    <xf numFmtId="10" fontId="21" fillId="2" borderId="14" xfId="0" applyNumberFormat="1" applyFont="1" applyFill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170" fontId="8" fillId="0" borderId="0" xfId="0" applyNumberFormat="1" applyFont="1" applyAlignment="1">
      <alignment vertical="center"/>
    </xf>
    <xf numFmtId="43" fontId="14" fillId="0" borderId="6" xfId="0" applyNumberFormat="1" applyFont="1" applyBorder="1" applyAlignment="1">
      <alignment vertical="center"/>
    </xf>
    <xf numFmtId="43" fontId="14" fillId="0" borderId="16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43" fontId="12" fillId="0" borderId="8" xfId="0" applyNumberFormat="1" applyFont="1" applyBorder="1" applyAlignment="1">
      <alignment horizontal="right" vertical="center"/>
    </xf>
    <xf numFmtId="43" fontId="19" fillId="2" borderId="17" xfId="0" applyNumberFormat="1" applyFont="1" applyFill="1" applyBorder="1" applyAlignment="1">
      <alignment vertical="center"/>
    </xf>
    <xf numFmtId="43" fontId="12" fillId="0" borderId="9" xfId="0" applyNumberFormat="1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43" fontId="8" fillId="0" borderId="3" xfId="0" applyNumberFormat="1" applyFont="1" applyBorder="1" applyAlignment="1">
      <alignment horizontal="center" vertical="center"/>
    </xf>
    <xf numFmtId="43" fontId="6" fillId="0" borderId="3" xfId="0" applyNumberFormat="1" applyFont="1" applyBorder="1" applyAlignment="1">
      <alignment vertical="center"/>
    </xf>
    <xf numFmtId="43" fontId="8" fillId="0" borderId="8" xfId="0" applyNumberFormat="1" applyFont="1" applyBorder="1" applyAlignment="1">
      <alignment horizontal="center" vertical="center"/>
    </xf>
    <xf numFmtId="43" fontId="6" fillId="0" borderId="8" xfId="0" applyNumberFormat="1" applyFont="1" applyBorder="1" applyAlignment="1">
      <alignment vertical="center"/>
    </xf>
    <xf numFmtId="43" fontId="8" fillId="0" borderId="9" xfId="0" applyNumberFormat="1" applyFont="1" applyBorder="1" applyAlignment="1">
      <alignment vertical="center"/>
    </xf>
    <xf numFmtId="168" fontId="12" fillId="0" borderId="11" xfId="0" applyNumberFormat="1" applyFont="1" applyBorder="1" applyAlignment="1">
      <alignment horizontal="left" vertical="center"/>
    </xf>
    <xf numFmtId="168" fontId="12" fillId="0" borderId="12" xfId="0" applyNumberFormat="1" applyFont="1" applyBorder="1" applyAlignment="1">
      <alignment horizontal="left" vertical="center"/>
    </xf>
    <xf numFmtId="168" fontId="12" fillId="0" borderId="10" xfId="0" applyNumberFormat="1" applyFont="1" applyBorder="1" applyAlignment="1">
      <alignment horizontal="left" vertical="center"/>
    </xf>
  </cellXfs>
  <cellStyles count="11">
    <cellStyle name="Comma" xfId="1" builtinId="3"/>
    <cellStyle name="Comma 2" xfId="8" xr:uid="{43E7FD53-88B8-48EF-809A-C7BBC7143BCB}"/>
    <cellStyle name="Comma 2 2" xfId="10" xr:uid="{63CBB002-6CA7-4880-A066-610ACC07EAA3}"/>
    <cellStyle name="Comma 4" xfId="3" xr:uid="{18B863D0-0532-4BEA-ABB8-4E22F4B228DC}"/>
    <cellStyle name="Comma 5" xfId="5" xr:uid="{A66C7373-1E6A-41E1-BF96-823E73B68E0C}"/>
    <cellStyle name="Normal" xfId="0" builtinId="0"/>
    <cellStyle name="Normal 2" xfId="7" xr:uid="{D06889A5-9F03-452F-A3FE-F90DF8AD2B4A}"/>
    <cellStyle name="Normal 4" xfId="2" xr:uid="{E24587F1-69A8-4975-9E25-58F37F016936}"/>
    <cellStyle name="Normal 7" xfId="4" xr:uid="{A4A33D78-65C5-498E-8BF1-1EB2DD84B8CF}"/>
    <cellStyle name="Percent 2" xfId="6" xr:uid="{303CB19A-BA88-40CD-8BE9-6F1E22B0537A}"/>
    <cellStyle name="Percent 3" xfId="9" xr:uid="{C7D2631D-7B09-4583-A2A4-D895612FC698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[$-409]dd\-mmm\-yy;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LIVERY%20RECEIP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YTD%20Sales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ales%20Journal%2020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2018\Copy%20of%20Sales%20Journal%20201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v%209%202018\Sales%20Journal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7501"/>
      <sheetName val="7502"/>
      <sheetName val="7503"/>
      <sheetName val="7504"/>
      <sheetName val="7505"/>
      <sheetName val="7506"/>
      <sheetName val="7507"/>
      <sheetName val="7508"/>
      <sheetName val="7509"/>
      <sheetName val="7510"/>
      <sheetName val="7511"/>
      <sheetName val="7512"/>
      <sheetName val="7513"/>
      <sheetName val="7514"/>
      <sheetName val="7515"/>
      <sheetName val="7516"/>
      <sheetName val="7517"/>
      <sheetName val="7518"/>
      <sheetName val="7519"/>
      <sheetName val="7520"/>
    </sheetNames>
    <sheetDataSet>
      <sheetData sheetId="0">
        <row r="4">
          <cell r="C4" t="str">
            <v>***Nothing Follows***</v>
          </cell>
        </row>
        <row r="5">
          <cell r="C5" t="str">
            <v>2,4-D Amine 1000ml x 12</v>
          </cell>
        </row>
        <row r="6">
          <cell r="C6" t="str">
            <v>2,4-D Amine 250ml x 48</v>
          </cell>
        </row>
        <row r="7">
          <cell r="C7" t="str">
            <v>2,4-D Amine 500ml x 24</v>
          </cell>
        </row>
        <row r="8">
          <cell r="C8" t="str">
            <v>2,4-D Amine drum x 200L</v>
          </cell>
        </row>
        <row r="9">
          <cell r="C9" t="str">
            <v>2,4-D Amine gal 3.75L x 6</v>
          </cell>
        </row>
        <row r="10">
          <cell r="C10" t="str">
            <v>2,4-D Ester 1000ml x 12</v>
          </cell>
        </row>
        <row r="11">
          <cell r="C11" t="str">
            <v>2,4-D Ester 250ml x 36</v>
          </cell>
        </row>
        <row r="12">
          <cell r="C12" t="str">
            <v>2,4-D Ester 500ml x 24</v>
          </cell>
        </row>
        <row r="13">
          <cell r="C13" t="str">
            <v>Ace 1000ml x 12</v>
          </cell>
        </row>
        <row r="14">
          <cell r="C14" t="str">
            <v>Ace 500ml x 24</v>
          </cell>
        </row>
        <row r="15">
          <cell r="C15" t="str">
            <v>Atrak-kill 1000g x 12</v>
          </cell>
        </row>
        <row r="16">
          <cell r="C16" t="str">
            <v>Atrazine 1000g x 12</v>
          </cell>
        </row>
        <row r="17">
          <cell r="C17" t="str">
            <v>Diuron 1000g x 12</v>
          </cell>
        </row>
        <row r="18">
          <cell r="C18" t="str">
            <v>Glyphosel 1000ml x 12</v>
          </cell>
        </row>
        <row r="19">
          <cell r="C19" t="str">
            <v>Glyphosel gal 3.75L x 6</v>
          </cell>
        </row>
        <row r="20">
          <cell r="C20" t="str">
            <v>Jakpot 1000ml x 12</v>
          </cell>
        </row>
        <row r="21">
          <cell r="C21" t="str">
            <v>Jakpot 1000ml x 12 (Promo 10+1)</v>
          </cell>
        </row>
        <row r="22">
          <cell r="C22" t="str">
            <v>Jakpot 100ml x 72</v>
          </cell>
        </row>
        <row r="23">
          <cell r="C23" t="str">
            <v>Jakpot 250ml x 36</v>
          </cell>
        </row>
        <row r="24">
          <cell r="C24" t="str">
            <v>Jakpot 250ml x 36 (Promo 10+1)</v>
          </cell>
        </row>
        <row r="25">
          <cell r="C25" t="str">
            <v>Jakpot 500ml x 24</v>
          </cell>
        </row>
        <row r="26">
          <cell r="C26" t="str">
            <v>Jakpot 500ml x 24 (Promo 10+1)</v>
          </cell>
        </row>
        <row r="27">
          <cell r="C27" t="str">
            <v>King 1000ml x 12</v>
          </cell>
        </row>
        <row r="28">
          <cell r="C28" t="str">
            <v>King 100ml x 72</v>
          </cell>
        </row>
        <row r="29">
          <cell r="C29" t="str">
            <v>King 250ml x 36</v>
          </cell>
        </row>
        <row r="30">
          <cell r="C30" t="str">
            <v>King 500ml x 24</v>
          </cell>
        </row>
        <row r="31">
          <cell r="C31" t="str">
            <v>Malathion 1000ml x 12</v>
          </cell>
        </row>
        <row r="32">
          <cell r="C32" t="str">
            <v>Malathion 100ml x 120</v>
          </cell>
        </row>
        <row r="33">
          <cell r="C33" t="str">
            <v>Malathion 250ml x 36</v>
          </cell>
        </row>
        <row r="34">
          <cell r="C34" t="str">
            <v>Malathion 500ml x 24</v>
          </cell>
        </row>
        <row r="35">
          <cell r="C35" t="str">
            <v>Megazinc Plus 1000ml x 12</v>
          </cell>
        </row>
        <row r="36">
          <cell r="C36" t="str">
            <v>Pacazeb 1000g x 12</v>
          </cell>
        </row>
        <row r="37">
          <cell r="C37" t="str">
            <v>Pacazeb 3lbs x 8</v>
          </cell>
        </row>
        <row r="38">
          <cell r="C38" t="str">
            <v>Quadro 1000g x 10</v>
          </cell>
        </row>
        <row r="39">
          <cell r="C39" t="str">
            <v>Quadro 50g x 200</v>
          </cell>
        </row>
        <row r="40">
          <cell r="C40" t="str">
            <v>Queen 1000ml x 12</v>
          </cell>
        </row>
        <row r="41">
          <cell r="C41" t="str">
            <v>Razer 100ml x 2 x 36</v>
          </cell>
        </row>
        <row r="42">
          <cell r="C42" t="str">
            <v>Razer 100ml x 2 x 36 (Promo 10+1)</v>
          </cell>
        </row>
        <row r="43">
          <cell r="C43" t="str">
            <v>Razer 250ml x 2 x 24</v>
          </cell>
        </row>
        <row r="44">
          <cell r="C44" t="str">
            <v>Solitaire 100g x 5 x 12</v>
          </cell>
        </row>
        <row r="45">
          <cell r="C45" t="str">
            <v>Surewin 100g x 50</v>
          </cell>
        </row>
        <row r="46">
          <cell r="C46" t="str">
            <v>Trioplus 1000g x 12</v>
          </cell>
        </row>
        <row r="47">
          <cell r="C47" t="str">
            <v>Trizeb 1000g x 12</v>
          </cell>
        </row>
        <row r="48">
          <cell r="C48" t="str">
            <v>Trizeb 3lbs x 8</v>
          </cell>
        </row>
        <row r="49">
          <cell r="C49" t="str">
            <v>Trizeb B x 25</v>
          </cell>
        </row>
        <row r="50">
          <cell r="C50" t="str">
            <v>Ultima 1000ml x 12</v>
          </cell>
        </row>
        <row r="51">
          <cell r="C51" t="str">
            <v>Ultima 500ml x 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4"/>
      <sheetName val="YTD SALES 2020"/>
      <sheetName val="PROD11"/>
      <sheetName val="PROD11 - P&amp;A"/>
      <sheetName val="REBATES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3"/>
      <sheetName val="Sheet12"/>
      <sheetName val="JUNE 2020 (2)"/>
      <sheetName val="JUNE 2020"/>
      <sheetName val="MAY 2020 (2)"/>
      <sheetName val="Sheet1"/>
      <sheetName val="MAY 2020"/>
      <sheetName val="APRIL 16-30 with Promo Support "/>
      <sheetName val="APRIL 2020 (2)"/>
      <sheetName val="APRIL 2020"/>
      <sheetName val="MARCH 2020 (2)"/>
      <sheetName val="MARCH 2020"/>
      <sheetName val="FEBRUARY 2020 (2)"/>
      <sheetName val="FEBRUARY 2020"/>
      <sheetName val="JANUARY 2020 (2)"/>
      <sheetName val="Sheet 1"/>
      <sheetName val="JANUARY 2020"/>
      <sheetName val="PROD10"/>
      <sheetName val="PRLST2019"/>
      <sheetName val="PROMO SUPPORT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B5" t="str">
            <v>PRODUCT</v>
          </cell>
          <cell r="C5" t="str">
            <v>UP</v>
          </cell>
        </row>
        <row r="6">
          <cell r="B6" t="str">
            <v>2,4-D AMINE drum x 200L</v>
          </cell>
          <cell r="C6">
            <v>21000</v>
          </cell>
        </row>
        <row r="7">
          <cell r="B7" t="str">
            <v>2,4-D AMINE 1000ml x 12</v>
          </cell>
          <cell r="C7">
            <v>143</v>
          </cell>
        </row>
        <row r="8">
          <cell r="B8" t="str">
            <v>2,4-D AMINE 1gal x 6</v>
          </cell>
          <cell r="C8">
            <v>502.5</v>
          </cell>
        </row>
        <row r="9">
          <cell r="B9" t="str">
            <v>2,4-D AMINE 250ml x 48</v>
          </cell>
          <cell r="C9">
            <v>55</v>
          </cell>
        </row>
        <row r="10">
          <cell r="B10" t="str">
            <v>2,4-D AMINE 500ml x 24</v>
          </cell>
          <cell r="C10">
            <v>76.5</v>
          </cell>
        </row>
        <row r="11">
          <cell r="B11" t="str">
            <v>2,4-D AMINE gal 3.75L x 6</v>
          </cell>
          <cell r="C11">
            <v>502.5</v>
          </cell>
        </row>
        <row r="12">
          <cell r="B12" t="str">
            <v>2,4-D ESTER 1000ml x 12</v>
          </cell>
          <cell r="C12">
            <v>195</v>
          </cell>
        </row>
        <row r="13">
          <cell r="B13" t="str">
            <v>2,4-D ESTER 250ml x 36</v>
          </cell>
          <cell r="C13">
            <v>62</v>
          </cell>
        </row>
        <row r="14">
          <cell r="B14" t="str">
            <v>2,4-D ESTER 250ml x 48</v>
          </cell>
          <cell r="C14">
            <v>62</v>
          </cell>
        </row>
        <row r="15">
          <cell r="B15" t="str">
            <v>2,4-D ESTER 500ml x 24</v>
          </cell>
          <cell r="C15">
            <v>121.5</v>
          </cell>
        </row>
        <row r="16">
          <cell r="B16" t="str">
            <v>ACE 1000ml x 12</v>
          </cell>
          <cell r="C16">
            <v>345</v>
          </cell>
        </row>
        <row r="17">
          <cell r="B17" t="str">
            <v>ACE 250ml x 48</v>
          </cell>
          <cell r="C17">
            <v>93.5</v>
          </cell>
        </row>
        <row r="18">
          <cell r="B18" t="str">
            <v>ACE 250ml x 36</v>
          </cell>
          <cell r="C18">
            <v>93.5</v>
          </cell>
        </row>
        <row r="19">
          <cell r="B19" t="str">
            <v>ACE 500ml x 24</v>
          </cell>
          <cell r="C19">
            <v>165</v>
          </cell>
        </row>
        <row r="20">
          <cell r="B20" t="str">
            <v>ATRAK-KILL 1000g x 12</v>
          </cell>
          <cell r="C20">
            <v>135</v>
          </cell>
        </row>
        <row r="21">
          <cell r="B21" t="str">
            <v>ATRAZINE 1000g x 12</v>
          </cell>
          <cell r="C21">
            <v>315</v>
          </cell>
        </row>
        <row r="22">
          <cell r="B22" t="str">
            <v>BAGWIS 1000ml x 12</v>
          </cell>
          <cell r="C22">
            <v>164</v>
          </cell>
        </row>
        <row r="23">
          <cell r="B23" t="str">
            <v>CALGEN 1000ml x 12</v>
          </cell>
          <cell r="C23">
            <v>180</v>
          </cell>
        </row>
        <row r="24">
          <cell r="B24" t="str">
            <v>DIURON 1000g x 12</v>
          </cell>
          <cell r="C24">
            <v>510</v>
          </cell>
        </row>
        <row r="25">
          <cell r="B25" t="str">
            <v>FOGINIL 1000ml x 12</v>
          </cell>
          <cell r="C25">
            <v>441.25</v>
          </cell>
        </row>
        <row r="26">
          <cell r="B26" t="str">
            <v>DRAW 1000ml x 12</v>
          </cell>
          <cell r="C26">
            <v>268.5</v>
          </cell>
        </row>
        <row r="27">
          <cell r="B27" t="str">
            <v>GLYPHOSEL 1000ml x 12</v>
          </cell>
          <cell r="C27">
            <v>180</v>
          </cell>
        </row>
        <row r="28">
          <cell r="B28" t="str">
            <v>GLYPHOSEL gal 3.75L x 6</v>
          </cell>
          <cell r="C28">
            <v>637.5</v>
          </cell>
        </row>
        <row r="29">
          <cell r="B29" t="str">
            <v>HOOK 1000ml x 12</v>
          </cell>
          <cell r="C29">
            <v>280</v>
          </cell>
        </row>
        <row r="30">
          <cell r="B30" t="str">
            <v>JAKPOT 1000ml x 12</v>
          </cell>
          <cell r="C30">
            <v>213</v>
          </cell>
        </row>
        <row r="31">
          <cell r="B31" t="str">
            <v>JAKPOT 100ml x 120</v>
          </cell>
          <cell r="C31">
            <v>35.6</v>
          </cell>
        </row>
        <row r="32">
          <cell r="B32" t="str">
            <v>JAKPOT 100ml x 72</v>
          </cell>
          <cell r="C32">
            <v>35.6</v>
          </cell>
        </row>
        <row r="33">
          <cell r="B33" t="str">
            <v>JAKPOT 250ml x 36</v>
          </cell>
          <cell r="C33">
            <v>73.75</v>
          </cell>
        </row>
        <row r="34">
          <cell r="B34" t="str">
            <v>JAKPOT 250ml x 48</v>
          </cell>
          <cell r="C34">
            <v>59.5</v>
          </cell>
        </row>
        <row r="35">
          <cell r="B35" t="str">
            <v>JAKPOT 500ml x 24</v>
          </cell>
          <cell r="C35">
            <v>119</v>
          </cell>
        </row>
        <row r="36">
          <cell r="B36" t="str">
            <v>KING 1000ml x 12</v>
          </cell>
          <cell r="C36">
            <v>168</v>
          </cell>
        </row>
        <row r="37">
          <cell r="B37" t="str">
            <v>KING 100ml x 72</v>
          </cell>
          <cell r="C37">
            <v>22.7</v>
          </cell>
        </row>
        <row r="38">
          <cell r="B38" t="str">
            <v>KING 250ml x 36</v>
          </cell>
          <cell r="C38">
            <v>47</v>
          </cell>
        </row>
        <row r="39">
          <cell r="B39" t="str">
            <v>KING 500ml x 24</v>
          </cell>
          <cell r="C39">
            <v>79.81</v>
          </cell>
        </row>
        <row r="40">
          <cell r="B40" t="str">
            <v>KUTTER 1000ml x 12</v>
          </cell>
          <cell r="C40">
            <v>132.5</v>
          </cell>
        </row>
        <row r="41">
          <cell r="B41" t="str">
            <v>KUTTER 4L x 4</v>
          </cell>
          <cell r="C41">
            <v>420</v>
          </cell>
        </row>
        <row r="42">
          <cell r="B42" t="str">
            <v>LIBRA 1000ml x 12</v>
          </cell>
          <cell r="C42">
            <v>168</v>
          </cell>
        </row>
        <row r="43">
          <cell r="B43" t="str">
            <v>LIBRA 500ml x 24</v>
          </cell>
          <cell r="C43">
            <v>79.81</v>
          </cell>
        </row>
        <row r="44">
          <cell r="B44" t="str">
            <v>MALATHION 1000ml x 12</v>
          </cell>
          <cell r="C44">
            <v>250</v>
          </cell>
        </row>
        <row r="45">
          <cell r="B45" t="str">
            <v>MALATHION 100ml x 120</v>
          </cell>
          <cell r="C45">
            <v>23.7</v>
          </cell>
        </row>
        <row r="46">
          <cell r="B46" t="str">
            <v>MALATHION 250ml x 36</v>
          </cell>
          <cell r="C46">
            <v>52.5</v>
          </cell>
        </row>
        <row r="47">
          <cell r="B47" t="str">
            <v>MALATHION 250ml x 48</v>
          </cell>
          <cell r="C47">
            <v>52.5</v>
          </cell>
        </row>
        <row r="48">
          <cell r="B48" t="str">
            <v>MALATHION 500ml x 24</v>
          </cell>
          <cell r="C48">
            <v>137.5</v>
          </cell>
        </row>
        <row r="49">
          <cell r="B49" t="str">
            <v>MEGAZINC 1000ml x 12</v>
          </cell>
          <cell r="C49">
            <v>140</v>
          </cell>
        </row>
        <row r="50">
          <cell r="B50" t="str">
            <v>MISTAH 1000ml x 12</v>
          </cell>
          <cell r="C50">
            <v>152.96</v>
          </cell>
        </row>
        <row r="51">
          <cell r="B51" t="str">
            <v>PACAZEB 1000g x 12</v>
          </cell>
          <cell r="C51">
            <v>273</v>
          </cell>
        </row>
        <row r="52">
          <cell r="B52" t="str">
            <v>PACAZEB 3lbs x 8</v>
          </cell>
          <cell r="C52">
            <v>364.48</v>
          </cell>
        </row>
        <row r="53">
          <cell r="B53" t="str">
            <v>QUADRO 1000g x 10</v>
          </cell>
          <cell r="C53">
            <v>575</v>
          </cell>
        </row>
        <row r="54">
          <cell r="B54" t="str">
            <v>QUADRO 50g x 200</v>
          </cell>
          <cell r="C54">
            <v>32.25</v>
          </cell>
        </row>
        <row r="55">
          <cell r="B55" t="str">
            <v>QUEEN 1000ml x 12</v>
          </cell>
          <cell r="C55">
            <v>600</v>
          </cell>
        </row>
        <row r="56">
          <cell r="B56" t="str">
            <v>QUEEN 250ml x 36</v>
          </cell>
          <cell r="C56">
            <v>163.5</v>
          </cell>
        </row>
        <row r="57">
          <cell r="B57" t="str">
            <v>QUEEN 250ml x 48</v>
          </cell>
          <cell r="C57">
            <v>130</v>
          </cell>
        </row>
        <row r="58">
          <cell r="B58" t="str">
            <v>QUEEN 500ml x 24</v>
          </cell>
          <cell r="C58">
            <v>309</v>
          </cell>
        </row>
        <row r="59">
          <cell r="B59" t="str">
            <v>RAZER 100ml x 2 x 36</v>
          </cell>
          <cell r="C59">
            <v>344</v>
          </cell>
        </row>
        <row r="60">
          <cell r="B60" t="str">
            <v>RAZER 250ml x 2 x 24</v>
          </cell>
          <cell r="C60">
            <v>848</v>
          </cell>
        </row>
        <row r="61">
          <cell r="B61" t="str">
            <v>ROTOR 350g x 24</v>
          </cell>
          <cell r="C61">
            <v>420</v>
          </cell>
        </row>
        <row r="62">
          <cell r="B62" t="str">
            <v>SOLITAIRE 100g x 5 x 12</v>
          </cell>
          <cell r="C62">
            <v>69.5</v>
          </cell>
        </row>
        <row r="63">
          <cell r="B63" t="str">
            <v>STAMINA 1000ml x 12</v>
          </cell>
          <cell r="C63">
            <v>930</v>
          </cell>
        </row>
        <row r="64">
          <cell r="B64" t="str">
            <v>STAMINA 100ml x 72</v>
          </cell>
          <cell r="C64">
            <v>134.1</v>
          </cell>
        </row>
        <row r="65">
          <cell r="B65" t="str">
            <v>STAMINA 250ml x 36</v>
          </cell>
          <cell r="C65">
            <v>225.75</v>
          </cell>
        </row>
        <row r="66">
          <cell r="B66" t="str">
            <v>STAMINA 500ml x 24</v>
          </cell>
          <cell r="C66">
            <v>488.25</v>
          </cell>
        </row>
        <row r="67">
          <cell r="B67" t="str">
            <v>SUREWIN 100g x 50</v>
          </cell>
          <cell r="C67">
            <v>69.5</v>
          </cell>
        </row>
        <row r="68">
          <cell r="B68" t="str">
            <v>TRIBAND 500g x 24</v>
          </cell>
          <cell r="C68">
            <v>305</v>
          </cell>
        </row>
        <row r="69">
          <cell r="B69" t="str">
            <v>TRICE 350g</v>
          </cell>
          <cell r="C69">
            <v>512.75</v>
          </cell>
        </row>
        <row r="70">
          <cell r="B70" t="str">
            <v>TRICE 350g x 24</v>
          </cell>
          <cell r="C70">
            <v>512.75</v>
          </cell>
        </row>
        <row r="71">
          <cell r="B71" t="str">
            <v>TRIO-PLUS 1000g x 12</v>
          </cell>
          <cell r="C71">
            <v>110</v>
          </cell>
        </row>
        <row r="72">
          <cell r="B72" t="str">
            <v>TRIZEB 1000g x 12</v>
          </cell>
          <cell r="C72">
            <v>258</v>
          </cell>
        </row>
        <row r="73">
          <cell r="B73" t="str">
            <v>TRIZEB 3lbs x 8</v>
          </cell>
          <cell r="C73">
            <v>344.08</v>
          </cell>
        </row>
        <row r="74">
          <cell r="B74" t="str">
            <v>TRIZEB B x 25</v>
          </cell>
          <cell r="C74">
            <v>230</v>
          </cell>
        </row>
        <row r="75">
          <cell r="B75" t="str">
            <v>ULTIMATE 1000ml x 12</v>
          </cell>
          <cell r="C75">
            <v>475</v>
          </cell>
        </row>
        <row r="76">
          <cell r="B76" t="str">
            <v>ULTIMA 1000ml x 12</v>
          </cell>
          <cell r="C76">
            <v>475</v>
          </cell>
        </row>
        <row r="77">
          <cell r="B77" t="str">
            <v>ULTIMA 500ml x 24</v>
          </cell>
          <cell r="C77">
            <v>207.5</v>
          </cell>
        </row>
      </sheetData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8 (2)"/>
      <sheetName val="DECEMBER 2018"/>
      <sheetName val="PROD7"/>
      <sheetName val="OCTOBER 2018 (4)"/>
      <sheetName val="NOVEMBER 2018 (2)"/>
      <sheetName val="NOVEMBER 2018"/>
      <sheetName val="OCTOBER 2018 FINAL"/>
      <sheetName val="OCTOBER 2018 P"/>
      <sheetName val="OCTOBER 2018 PP"/>
      <sheetName val="OCTOBER 2018 (3)"/>
      <sheetName val="OCTOBER 2018 (2)"/>
      <sheetName val="SEPTEMBER 2018 P"/>
      <sheetName val="SEPTEMBER 2018"/>
      <sheetName val="AUGUST 2018 P"/>
      <sheetName val="AUGUST 2018"/>
      <sheetName val="PROD6"/>
      <sheetName val="JULY 2018 (2)"/>
      <sheetName val="JULY 2018 3"/>
      <sheetName val="JULY 2018"/>
      <sheetName val="PROD4"/>
      <sheetName val="JUNE 2018 (2)"/>
      <sheetName val="JUNE 2018"/>
      <sheetName val="PROD3"/>
      <sheetName val="MAY 2018 (2)"/>
      <sheetName val="MAY 2018"/>
      <sheetName val="APRIL 2018 (3)"/>
      <sheetName val="APRIL 2018"/>
      <sheetName val="MARCH 2018 (2)"/>
      <sheetName val="MARCH 2018"/>
      <sheetName val="PROD2"/>
      <sheetName val="FEB 2018 FINAL"/>
      <sheetName val="FEB 2018"/>
      <sheetName val="JAN 2018 (2)"/>
      <sheetName val="JAN 2018"/>
      <sheetName val="DECEMBER 2017 (2)"/>
      <sheetName val="DECEMBER 2017"/>
      <sheetName val="NOVEMBER 2017 (3)"/>
      <sheetName val="NOVEMBER 2017"/>
      <sheetName val="OCTOBER 2017 (2)"/>
      <sheetName val="OCTOBER 2017"/>
      <sheetName val="SEPTEMBER 2017 P"/>
      <sheetName val="SEPTEMBER 2017"/>
      <sheetName val="AUGUST 2017 P"/>
      <sheetName val="AUGUST 2017"/>
      <sheetName val="JULY 2017 (2)"/>
      <sheetName val="JULY 2017"/>
      <sheetName val="PRO"/>
      <sheetName val="JUNE 2017 (2)"/>
      <sheetName val="JUNE 2017"/>
      <sheetName val="MAY 2017 P"/>
      <sheetName val="MAY 2017"/>
      <sheetName val="APR 2017 (2)"/>
      <sheetName val="APR 2017"/>
      <sheetName val="MAR 2017 (2)"/>
      <sheetName val="MAR 2017"/>
      <sheetName val="FEB 2017 P"/>
      <sheetName val="FEB 2017"/>
      <sheetName val="JAN 2017 P"/>
      <sheetName val="JAN 2017"/>
      <sheetName val="DEC 2016 (2)"/>
      <sheetName val="DEC 2016"/>
      <sheetName val="NOV 2016 C"/>
      <sheetName val="NOV 2016 P"/>
      <sheetName val="NOV 2016"/>
      <sheetName val="OCT 2016 P C"/>
      <sheetName val="OCT 2016 P"/>
      <sheetName val="OCT 2016"/>
      <sheetName val="SEP 2016 (2)"/>
      <sheetName val="SEP 2016"/>
      <sheetName val="AUG 2016 (2)"/>
      <sheetName val="AUG 2016"/>
      <sheetName val="JULY 2016 (3)"/>
      <sheetName val="JULY 2016"/>
      <sheetName val="JUNE 2016 (P)"/>
      <sheetName val="JUNE 2016"/>
      <sheetName val="MAY 2016 P"/>
      <sheetName val="MAY 2016"/>
      <sheetName val="APR 2016 (P)"/>
      <sheetName val="APR 2016"/>
      <sheetName val="MAR 2016 P"/>
      <sheetName val="MAR 2016"/>
      <sheetName val="FEB 2016 P"/>
      <sheetName val="FEB 2016"/>
      <sheetName val="JAN 2016 P"/>
      <sheetName val="JAN 2016"/>
      <sheetName val="MAR 2015 P"/>
      <sheetName val="DEC 2015 P"/>
      <sheetName val="DEC 2015 PO"/>
      <sheetName val="DEC 2015"/>
      <sheetName val="NOV 2015 P"/>
      <sheetName val="NOV 2015"/>
      <sheetName val="OCT 2015 P"/>
      <sheetName val="OCT 2015"/>
      <sheetName val="SEP 2015 P"/>
      <sheetName val="SEP 2015"/>
      <sheetName val="AUG 2015 P"/>
      <sheetName val="AUG 2015"/>
      <sheetName val="JULY 2015 P"/>
      <sheetName val="JULY 2015"/>
      <sheetName val="JUN 2015 P"/>
      <sheetName val="JUN 2015"/>
      <sheetName val="MAY 2015 P"/>
      <sheetName val="MAY 2015"/>
      <sheetName val="APRIL 2015 P"/>
      <sheetName val="APRIL 2015"/>
      <sheetName val="MAR 2015"/>
      <sheetName val="Sheet2"/>
      <sheetName val="Sheet3"/>
      <sheetName val="FEB 2018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">
          <cell r="B5" t="str">
            <v>PRODUCT</v>
          </cell>
          <cell r="C5" t="str">
            <v>UP</v>
          </cell>
        </row>
        <row r="6">
          <cell r="B6" t="str">
            <v>2,4-D AMINE drum x 200L</v>
          </cell>
          <cell r="C6">
            <v>23000</v>
          </cell>
        </row>
        <row r="7">
          <cell r="B7" t="str">
            <v>2,4-D AMINE 1000ml x 12</v>
          </cell>
          <cell r="C7">
            <v>156</v>
          </cell>
        </row>
        <row r="8">
          <cell r="B8" t="str">
            <v>2,4-D AMINE 1gal x 6</v>
          </cell>
          <cell r="C8">
            <v>555</v>
          </cell>
        </row>
        <row r="9">
          <cell r="B9" t="str">
            <v>2,4-D AMINE 250ml x 48</v>
          </cell>
          <cell r="C9">
            <v>47.25</v>
          </cell>
        </row>
        <row r="10">
          <cell r="B10" t="str">
            <v>2,4-D AMINE 500ml x 24</v>
          </cell>
          <cell r="C10">
            <v>76.5</v>
          </cell>
        </row>
        <row r="11">
          <cell r="B11" t="str">
            <v>2,4-D AMINE gal 3.75L x 6</v>
          </cell>
          <cell r="C11">
            <v>555</v>
          </cell>
        </row>
        <row r="12">
          <cell r="B12" t="str">
            <v>2,4-D ESTER 1000ml x 12</v>
          </cell>
          <cell r="C12">
            <v>218</v>
          </cell>
        </row>
        <row r="13">
          <cell r="B13" t="str">
            <v>2,4-D ESTER 250ml x 36</v>
          </cell>
          <cell r="C13">
            <v>62</v>
          </cell>
        </row>
        <row r="14">
          <cell r="B14" t="str">
            <v>2,4-D ESTER 250ml x 48</v>
          </cell>
          <cell r="C14">
            <v>62</v>
          </cell>
        </row>
        <row r="15">
          <cell r="B15" t="str">
            <v>2,4-D ESTER 500ml x 24</v>
          </cell>
          <cell r="C15">
            <v>121.5</v>
          </cell>
        </row>
        <row r="16">
          <cell r="B16" t="str">
            <v>ACE 1000ml x 12</v>
          </cell>
          <cell r="C16">
            <v>345</v>
          </cell>
        </row>
        <row r="17">
          <cell r="B17" t="str">
            <v>ACE 250ml x 36</v>
          </cell>
          <cell r="C17">
            <v>93.5</v>
          </cell>
        </row>
        <row r="18">
          <cell r="B18" t="str">
            <v>ACE 500ml x 24</v>
          </cell>
          <cell r="C18">
            <v>165</v>
          </cell>
        </row>
        <row r="19">
          <cell r="B19" t="str">
            <v>ATRAK-KILL 1000g x 12</v>
          </cell>
          <cell r="C19">
            <v>120</v>
          </cell>
        </row>
        <row r="20">
          <cell r="B20" t="str">
            <v>ATRAZINE 1000g x 12</v>
          </cell>
          <cell r="C20">
            <v>315</v>
          </cell>
        </row>
        <row r="21">
          <cell r="B21" t="str">
            <v>DIURON 1000g x 12</v>
          </cell>
          <cell r="C21">
            <v>510</v>
          </cell>
        </row>
        <row r="22">
          <cell r="B22"/>
          <cell r="C22"/>
        </row>
        <row r="23">
          <cell r="B23" t="str">
            <v>DRAW 1000ml x 12</v>
          </cell>
          <cell r="C23">
            <v>285</v>
          </cell>
        </row>
        <row r="24">
          <cell r="B24" t="str">
            <v>GLYPHOSEL 1000ml x 12</v>
          </cell>
          <cell r="C24">
            <v>185</v>
          </cell>
        </row>
        <row r="25">
          <cell r="B25" t="str">
            <v>GLYPHOSEL gal 3.75L x 6</v>
          </cell>
          <cell r="C25">
            <v>656.25</v>
          </cell>
        </row>
        <row r="26">
          <cell r="B26" t="str">
            <v>HOOK 1000ml x 12</v>
          </cell>
          <cell r="C26">
            <v>280</v>
          </cell>
        </row>
        <row r="27">
          <cell r="B27" t="str">
            <v>JAKPOT 1000ml x 12</v>
          </cell>
          <cell r="C27">
            <v>198</v>
          </cell>
        </row>
        <row r="28">
          <cell r="B28" t="str">
            <v>JAKPOT 100ml x 120</v>
          </cell>
          <cell r="C28">
            <v>27.3</v>
          </cell>
        </row>
        <row r="29">
          <cell r="B29" t="str">
            <v>JAKPOT 100ml x 72</v>
          </cell>
          <cell r="C29">
            <v>35.6</v>
          </cell>
        </row>
        <row r="30">
          <cell r="B30" t="str">
            <v>JAKPOT 250ml x 36</v>
          </cell>
          <cell r="C30">
            <v>73.75</v>
          </cell>
        </row>
        <row r="31">
          <cell r="B31" t="str">
            <v>JAKPOT 250ml x 48</v>
          </cell>
          <cell r="C31">
            <v>59.5</v>
          </cell>
        </row>
        <row r="32">
          <cell r="B32" t="str">
            <v>JAKPOT 500ml x 24</v>
          </cell>
          <cell r="C32">
            <v>110</v>
          </cell>
        </row>
        <row r="33">
          <cell r="B33" t="str">
            <v>KING 1000ml x 12</v>
          </cell>
          <cell r="C33">
            <v>168</v>
          </cell>
        </row>
        <row r="34">
          <cell r="B34" t="str">
            <v>KING 100ml x 72</v>
          </cell>
          <cell r="C34">
            <v>22.7</v>
          </cell>
        </row>
        <row r="35">
          <cell r="B35" t="str">
            <v>KING 250ml x 36</v>
          </cell>
          <cell r="C35">
            <v>47</v>
          </cell>
        </row>
        <row r="36">
          <cell r="B36" t="str">
            <v>KING 500ml x 24</v>
          </cell>
          <cell r="C36">
            <v>79.81</v>
          </cell>
        </row>
        <row r="37">
          <cell r="B37" t="str">
            <v>KUTTER 1000ml x 12</v>
          </cell>
          <cell r="C37">
            <v>132.5</v>
          </cell>
        </row>
        <row r="38">
          <cell r="B38" t="str">
            <v>KUTTER 4L x 4</v>
          </cell>
          <cell r="C38">
            <v>420</v>
          </cell>
        </row>
        <row r="39">
          <cell r="B39" t="str">
            <v>LIBRA 1000ml x 12</v>
          </cell>
          <cell r="C39">
            <v>168</v>
          </cell>
        </row>
        <row r="40">
          <cell r="B40" t="str">
            <v>LIBRA 500ml x 24</v>
          </cell>
          <cell r="C40">
            <v>79.81</v>
          </cell>
        </row>
        <row r="41">
          <cell r="B41" t="str">
            <v>MALATHION 1000ml x 12</v>
          </cell>
          <cell r="C41">
            <v>250</v>
          </cell>
        </row>
        <row r="42">
          <cell r="B42" t="str">
            <v>MALATHION 100ml x 120</v>
          </cell>
          <cell r="C42">
            <v>23.7</v>
          </cell>
        </row>
        <row r="43">
          <cell r="B43" t="str">
            <v>MALATHION 250ml x 48</v>
          </cell>
          <cell r="C43">
            <v>52.5</v>
          </cell>
        </row>
        <row r="44">
          <cell r="B44" t="str">
            <v>MALATHION 500ml x 24</v>
          </cell>
          <cell r="C44">
            <v>137.5</v>
          </cell>
        </row>
        <row r="45">
          <cell r="B45" t="str">
            <v>MEGAZINC PLUS 1000ml x 12</v>
          </cell>
          <cell r="C45">
            <v>140</v>
          </cell>
        </row>
        <row r="46">
          <cell r="B46" t="str">
            <v>PACAZEB 1000g x 12</v>
          </cell>
          <cell r="C46">
            <v>273</v>
          </cell>
        </row>
        <row r="47">
          <cell r="B47" t="str">
            <v>PACAZEB 3lbs x 8</v>
          </cell>
          <cell r="C47">
            <v>364.48</v>
          </cell>
        </row>
        <row r="48">
          <cell r="B48" t="str">
            <v>QUADRO 1000g x 10</v>
          </cell>
          <cell r="C48">
            <v>575</v>
          </cell>
        </row>
        <row r="49">
          <cell r="B49" t="str">
            <v>QUADRO 50g x 200</v>
          </cell>
          <cell r="C49">
            <v>32.25</v>
          </cell>
        </row>
        <row r="50">
          <cell r="B50" t="str">
            <v>QUEEN 1000ml x 12</v>
          </cell>
          <cell r="C50">
            <v>600</v>
          </cell>
        </row>
        <row r="51">
          <cell r="B51" t="str">
            <v>QUEEN 250ml x 36</v>
          </cell>
          <cell r="C51">
            <v>163.5</v>
          </cell>
        </row>
        <row r="52">
          <cell r="B52" t="str">
            <v>QUEEN 250ml x 48</v>
          </cell>
          <cell r="C52">
            <v>130</v>
          </cell>
        </row>
        <row r="53">
          <cell r="B53" t="str">
            <v>QUEEN 500ml x 24</v>
          </cell>
          <cell r="C53">
            <v>309</v>
          </cell>
        </row>
        <row r="54">
          <cell r="B54" t="str">
            <v>RAZER 100ml x 2 x 36</v>
          </cell>
          <cell r="C54">
            <v>344</v>
          </cell>
        </row>
        <row r="55">
          <cell r="B55" t="str">
            <v>RAZER 250ml x 2 x 24</v>
          </cell>
          <cell r="C55">
            <v>848</v>
          </cell>
        </row>
        <row r="56">
          <cell r="B56" t="str">
            <v>SOLITAIRE 100g x 5 x 12</v>
          </cell>
          <cell r="C56">
            <v>68.5</v>
          </cell>
        </row>
        <row r="57">
          <cell r="B57" t="str">
            <v>STAMINA 1000ml x 12</v>
          </cell>
          <cell r="C57">
            <v>930</v>
          </cell>
        </row>
        <row r="58">
          <cell r="B58" t="str">
            <v>STAMINA 100ml x 72</v>
          </cell>
          <cell r="C58">
            <v>134.1</v>
          </cell>
        </row>
        <row r="59">
          <cell r="B59" t="str">
            <v>STAMINA 250ml x 36</v>
          </cell>
          <cell r="C59">
            <v>225.75</v>
          </cell>
        </row>
        <row r="60">
          <cell r="B60" t="str">
            <v>STAMINA 500ml x 24</v>
          </cell>
          <cell r="C60">
            <v>488.25</v>
          </cell>
        </row>
        <row r="61">
          <cell r="B61" t="str">
            <v>SUREWIN 100g x 50</v>
          </cell>
          <cell r="C61">
            <v>65</v>
          </cell>
        </row>
        <row r="62">
          <cell r="B62" t="str">
            <v>TRIBAND 500g x 24</v>
          </cell>
          <cell r="C62">
            <v>305</v>
          </cell>
        </row>
        <row r="63">
          <cell r="B63" t="str">
            <v>TRICE 350g</v>
          </cell>
          <cell r="C63">
            <v>381.5</v>
          </cell>
        </row>
        <row r="64">
          <cell r="B64" t="str">
            <v>TRICE 350g x 24</v>
          </cell>
          <cell r="C64">
            <v>381.5</v>
          </cell>
        </row>
        <row r="65">
          <cell r="B65" t="str">
            <v>TRIOPLUS 1000g x 12</v>
          </cell>
          <cell r="C65">
            <v>110</v>
          </cell>
        </row>
        <row r="66">
          <cell r="B66" t="str">
            <v>Trizeb 1000g x 12</v>
          </cell>
          <cell r="C66">
            <v>258</v>
          </cell>
        </row>
        <row r="67">
          <cell r="B67" t="str">
            <v>TRIZEB 3lbs x 8</v>
          </cell>
          <cell r="C67">
            <v>344.08</v>
          </cell>
        </row>
        <row r="68">
          <cell r="B68" t="str">
            <v>TRIZEB B x 25</v>
          </cell>
          <cell r="C68">
            <v>230</v>
          </cell>
        </row>
        <row r="69">
          <cell r="B69" t="str">
            <v>ULTIMATE 1000ml x 12</v>
          </cell>
          <cell r="C69">
            <v>475</v>
          </cell>
        </row>
        <row r="70">
          <cell r="B70" t="str">
            <v>ULTIMA 1000ml x 12</v>
          </cell>
          <cell r="C70">
            <v>475</v>
          </cell>
        </row>
        <row r="71">
          <cell r="B71" t="str">
            <v>ULTIMA 500ml x 24</v>
          </cell>
          <cell r="C71">
            <v>207.5</v>
          </cell>
        </row>
      </sheetData>
      <sheetData sheetId="16" refreshError="1"/>
      <sheetData sheetId="17" refreshError="1"/>
      <sheetData sheetId="18" refreshError="1"/>
      <sheetData sheetId="19">
        <row r="5">
          <cell r="B5" t="str">
            <v>PRODUCT</v>
          </cell>
          <cell r="C5" t="str">
            <v>UP</v>
          </cell>
        </row>
        <row r="6">
          <cell r="B6" t="str">
            <v>2,4-D AMINE drum x 200L</v>
          </cell>
          <cell r="C6">
            <v>23000</v>
          </cell>
        </row>
        <row r="7">
          <cell r="B7" t="str">
            <v>2,4-D AMINE 1000ml x 12</v>
          </cell>
          <cell r="C7">
            <v>135</v>
          </cell>
        </row>
        <row r="8">
          <cell r="B8" t="str">
            <v>2,4-D AMINE 1gal x 6</v>
          </cell>
          <cell r="C8">
            <v>555</v>
          </cell>
        </row>
        <row r="9">
          <cell r="B9" t="str">
            <v>2,4-D AMINE 250ml x 48</v>
          </cell>
          <cell r="C9">
            <v>47.25</v>
          </cell>
        </row>
        <row r="10">
          <cell r="B10" t="str">
            <v>2,4-D AMINE 500ml x 24</v>
          </cell>
          <cell r="C10">
            <v>76.5</v>
          </cell>
        </row>
        <row r="11">
          <cell r="B11" t="str">
            <v>2,4-D AMINE gal 3.75L x 6</v>
          </cell>
          <cell r="C11">
            <v>555</v>
          </cell>
        </row>
        <row r="12">
          <cell r="B12" t="str">
            <v>2,4-D ESTER 1000ml x 12</v>
          </cell>
          <cell r="C12">
            <v>215</v>
          </cell>
        </row>
        <row r="13">
          <cell r="B13" t="str">
            <v>2,4-D ESTER 250ml x 36</v>
          </cell>
          <cell r="C13">
            <v>62</v>
          </cell>
        </row>
        <row r="14">
          <cell r="B14" t="str">
            <v>2,4-D ESTER 250ml x 48</v>
          </cell>
          <cell r="C14">
            <v>62</v>
          </cell>
        </row>
        <row r="15">
          <cell r="B15" t="str">
            <v>2,4-D ESTER 500ml x 24</v>
          </cell>
          <cell r="C15">
            <v>109</v>
          </cell>
        </row>
        <row r="16">
          <cell r="B16" t="str">
            <v>ACE 1000ml x 12</v>
          </cell>
          <cell r="C16">
            <v>345</v>
          </cell>
        </row>
        <row r="17">
          <cell r="B17" t="str">
            <v>ACE 250ml x 36</v>
          </cell>
          <cell r="C17">
            <v>93.5</v>
          </cell>
        </row>
        <row r="18">
          <cell r="B18" t="str">
            <v>ACE 500ml x 24</v>
          </cell>
          <cell r="C18">
            <v>165</v>
          </cell>
        </row>
        <row r="19">
          <cell r="B19" t="str">
            <v>ATRAK-KILL 1000g x 12</v>
          </cell>
          <cell r="C19">
            <v>120</v>
          </cell>
        </row>
        <row r="20">
          <cell r="B20" t="str">
            <v>ATRAZINE 1000g x 12</v>
          </cell>
          <cell r="C20">
            <v>315</v>
          </cell>
        </row>
        <row r="21">
          <cell r="B21" t="str">
            <v>DIURON 1000g x 12</v>
          </cell>
          <cell r="C21">
            <v>450</v>
          </cell>
        </row>
        <row r="22">
          <cell r="B22" t="str">
            <v>DRAW 1000ml x 12</v>
          </cell>
          <cell r="C22">
            <v>268.5</v>
          </cell>
        </row>
        <row r="23">
          <cell r="B23" t="str">
            <v>DRAW 1000ml x 12</v>
          </cell>
          <cell r="C23">
            <v>268.5</v>
          </cell>
        </row>
        <row r="24">
          <cell r="B24" t="str">
            <v>GLYPHOSEL 1000ml x 12</v>
          </cell>
          <cell r="C24">
            <v>185</v>
          </cell>
        </row>
        <row r="25">
          <cell r="B25" t="str">
            <v>GLYPHOSEL gal 3.75L x 6</v>
          </cell>
          <cell r="C25">
            <v>656.25</v>
          </cell>
        </row>
        <row r="26">
          <cell r="B26" t="str">
            <v>HOOK 1000ml x 12</v>
          </cell>
          <cell r="C26">
            <v>280</v>
          </cell>
        </row>
        <row r="27">
          <cell r="B27" t="str">
            <v>JAKPOT 1000ml x 12</v>
          </cell>
          <cell r="C27">
            <v>198</v>
          </cell>
        </row>
        <row r="28">
          <cell r="B28" t="str">
            <v>JAKPOT 100ml x 120</v>
          </cell>
          <cell r="C28">
            <v>27.3</v>
          </cell>
        </row>
        <row r="29">
          <cell r="B29" t="str">
            <v>JAKPOT 100ml x 72</v>
          </cell>
          <cell r="C29">
            <v>35.6</v>
          </cell>
        </row>
        <row r="30">
          <cell r="B30" t="str">
            <v>JAKPOT 250ml x 36</v>
          </cell>
          <cell r="C30">
            <v>73.75</v>
          </cell>
        </row>
        <row r="31">
          <cell r="B31" t="str">
            <v>JAKPOT 250ml x 48</v>
          </cell>
          <cell r="C31">
            <v>59.5</v>
          </cell>
        </row>
        <row r="32">
          <cell r="B32" t="str">
            <v>JAKPOT 500ml x 24</v>
          </cell>
          <cell r="C32">
            <v>110</v>
          </cell>
        </row>
        <row r="33">
          <cell r="B33" t="str">
            <v>KING 1000ml x 12</v>
          </cell>
          <cell r="C33">
            <v>150</v>
          </cell>
        </row>
        <row r="34">
          <cell r="B34" t="str">
            <v>KING 100ml x 72</v>
          </cell>
          <cell r="C34">
            <v>22.7</v>
          </cell>
        </row>
        <row r="35">
          <cell r="B35" t="str">
            <v>KING 250ml x 36</v>
          </cell>
          <cell r="C35">
            <v>47</v>
          </cell>
        </row>
        <row r="36">
          <cell r="B36" t="str">
            <v>KING 500ml x 24</v>
          </cell>
          <cell r="C36">
            <v>79.81</v>
          </cell>
        </row>
        <row r="37">
          <cell r="B37" t="str">
            <v>KUTTER 1000ml x 12</v>
          </cell>
          <cell r="C37">
            <v>120</v>
          </cell>
        </row>
        <row r="38">
          <cell r="B38" t="str">
            <v>KUTTER 4L x 4</v>
          </cell>
          <cell r="C38">
            <v>420</v>
          </cell>
        </row>
        <row r="39">
          <cell r="B39" t="str">
            <v>LIBRA 1000ml x 12</v>
          </cell>
          <cell r="C39">
            <v>150</v>
          </cell>
        </row>
        <row r="40">
          <cell r="B40" t="str">
            <v>LIBRA 500ml x 24</v>
          </cell>
          <cell r="C40">
            <v>79.81</v>
          </cell>
        </row>
        <row r="41">
          <cell r="B41" t="str">
            <v>MALATHION 1000ml x 12</v>
          </cell>
          <cell r="C41">
            <v>230</v>
          </cell>
        </row>
        <row r="42">
          <cell r="B42" t="str">
            <v>MALATHION 100ml x 120</v>
          </cell>
          <cell r="C42">
            <v>23.7</v>
          </cell>
        </row>
        <row r="43">
          <cell r="B43" t="str">
            <v>MALATHION 250ml x 48</v>
          </cell>
          <cell r="C43">
            <v>52.5</v>
          </cell>
        </row>
        <row r="44">
          <cell r="B44" t="str">
            <v>MALATHION 500ml x 24</v>
          </cell>
          <cell r="C44">
            <v>92</v>
          </cell>
        </row>
        <row r="45">
          <cell r="B45" t="str">
            <v>MEGAZINC PLUS 1000ml x 12</v>
          </cell>
          <cell r="C45">
            <v>140</v>
          </cell>
        </row>
        <row r="46">
          <cell r="B46" t="str">
            <v>PACAZEB 1000g x 12</v>
          </cell>
          <cell r="C46">
            <v>273</v>
          </cell>
        </row>
        <row r="47">
          <cell r="B47" t="str">
            <v>PACAZEB 3lbs x 8</v>
          </cell>
          <cell r="C47">
            <v>364.48</v>
          </cell>
        </row>
        <row r="48">
          <cell r="B48" t="str">
            <v>QUADRO 1000g x 10</v>
          </cell>
          <cell r="C48">
            <v>575</v>
          </cell>
        </row>
        <row r="49">
          <cell r="B49" t="str">
            <v>QUADRO 50g x 200</v>
          </cell>
          <cell r="C49">
            <v>32.25</v>
          </cell>
        </row>
        <row r="50">
          <cell r="B50" t="str">
            <v>QUEEN 1000ml x 12</v>
          </cell>
          <cell r="C50">
            <v>600</v>
          </cell>
        </row>
        <row r="51">
          <cell r="B51" t="str">
            <v>QUEEN 250ml x 36</v>
          </cell>
          <cell r="C51">
            <v>163.5</v>
          </cell>
        </row>
        <row r="52">
          <cell r="B52" t="str">
            <v>QUEEN 250ml x 48</v>
          </cell>
          <cell r="C52">
            <v>130</v>
          </cell>
        </row>
        <row r="53">
          <cell r="B53" t="str">
            <v>QUEEN 500ml x 24</v>
          </cell>
          <cell r="C53">
            <v>309</v>
          </cell>
        </row>
        <row r="54">
          <cell r="B54" t="str">
            <v>RAZER 100ml x 2 x 36</v>
          </cell>
          <cell r="C54">
            <v>244</v>
          </cell>
        </row>
        <row r="55">
          <cell r="B55" t="str">
            <v>RAZER 250ml x 2 x 24</v>
          </cell>
          <cell r="C55">
            <v>700</v>
          </cell>
        </row>
        <row r="56">
          <cell r="B56" t="str">
            <v>SOLITAIRE 100g x 5 x 12</v>
          </cell>
          <cell r="C56">
            <v>68.5</v>
          </cell>
        </row>
        <row r="57">
          <cell r="B57" t="str">
            <v>STAMINA 1000ml x 12</v>
          </cell>
          <cell r="C57">
            <v>930</v>
          </cell>
        </row>
        <row r="58">
          <cell r="B58" t="str">
            <v>STAMINA 100ml x 72</v>
          </cell>
          <cell r="C58">
            <v>134.1</v>
          </cell>
        </row>
        <row r="59">
          <cell r="B59" t="str">
            <v>STAMINA 250ml x 36</v>
          </cell>
          <cell r="C59">
            <v>225.75</v>
          </cell>
        </row>
        <row r="60">
          <cell r="B60" t="str">
            <v>STAMINA 500ml x 24</v>
          </cell>
          <cell r="C60">
            <v>488.25</v>
          </cell>
        </row>
        <row r="61">
          <cell r="B61" t="str">
            <v>SUREWIN 100g x 50</v>
          </cell>
          <cell r="C61">
            <v>65</v>
          </cell>
        </row>
        <row r="62">
          <cell r="B62" t="str">
            <v>TRIBAND 500g x 24</v>
          </cell>
          <cell r="C62">
            <v>305</v>
          </cell>
        </row>
        <row r="63">
          <cell r="B63" t="str">
            <v>TRICE 350g</v>
          </cell>
          <cell r="C63">
            <v>381.5</v>
          </cell>
        </row>
        <row r="64">
          <cell r="B64" t="str">
            <v>TRICE 350g x 24</v>
          </cell>
          <cell r="C64">
            <v>381.5</v>
          </cell>
        </row>
        <row r="65">
          <cell r="B65" t="str">
            <v>TRIOPLUS 1000g x 12</v>
          </cell>
          <cell r="C65">
            <v>110</v>
          </cell>
        </row>
        <row r="66">
          <cell r="B66" t="str">
            <v>TRIZEB 1000g x 12</v>
          </cell>
          <cell r="C66">
            <v>258</v>
          </cell>
        </row>
        <row r="67">
          <cell r="B67" t="str">
            <v>TRIZEB 3lbs x 8</v>
          </cell>
          <cell r="C67">
            <v>344.08</v>
          </cell>
        </row>
        <row r="68">
          <cell r="B68" t="str">
            <v>TRIZEB B x 25</v>
          </cell>
          <cell r="C68">
            <v>230</v>
          </cell>
        </row>
        <row r="69">
          <cell r="B69" t="str">
            <v>ULTIMATE 1000ml x 12</v>
          </cell>
          <cell r="C69">
            <v>475</v>
          </cell>
        </row>
        <row r="70">
          <cell r="B70" t="str">
            <v>ULTIMA 1000ml x 12</v>
          </cell>
          <cell r="C70">
            <v>475</v>
          </cell>
        </row>
        <row r="71">
          <cell r="B71" t="str">
            <v>ULTIMA 500ml x 24</v>
          </cell>
          <cell r="C71">
            <v>207.5</v>
          </cell>
        </row>
      </sheetData>
      <sheetData sheetId="20" refreshError="1"/>
      <sheetData sheetId="21" refreshError="1"/>
      <sheetData sheetId="22">
        <row r="5">
          <cell r="B5" t="str">
            <v>PRODUCT</v>
          </cell>
          <cell r="C5" t="str">
            <v>UP</v>
          </cell>
        </row>
        <row r="6">
          <cell r="B6" t="str">
            <v>2,4-D AMINE drum x 200L</v>
          </cell>
          <cell r="C6">
            <v>23000</v>
          </cell>
        </row>
        <row r="7">
          <cell r="B7" t="str">
            <v>2,4-D AMINE 1gal x 6</v>
          </cell>
          <cell r="C7">
            <v>485</v>
          </cell>
        </row>
        <row r="8">
          <cell r="B8" t="str">
            <v>2,4-D AMINE gal 3.75L x 6</v>
          </cell>
          <cell r="C8">
            <v>485</v>
          </cell>
        </row>
        <row r="9">
          <cell r="B9" t="str">
            <v>2,4-D ESTER 1000ml x 12</v>
          </cell>
          <cell r="C9">
            <v>200</v>
          </cell>
        </row>
        <row r="10">
          <cell r="B10" t="str">
            <v>2,4-D ESTER 250ml x 36</v>
          </cell>
          <cell r="C10">
            <v>62</v>
          </cell>
        </row>
        <row r="11">
          <cell r="B11" t="str">
            <v>2,4-D ESTER 250ml x 48</v>
          </cell>
          <cell r="C11">
            <v>62</v>
          </cell>
        </row>
        <row r="12">
          <cell r="B12" t="str">
            <v>2,4-D ESTER 500ml x 24</v>
          </cell>
          <cell r="C12">
            <v>109</v>
          </cell>
        </row>
        <row r="13">
          <cell r="B13" t="str">
            <v>2,4-D AMINE 1000ml x 12</v>
          </cell>
          <cell r="C13">
            <v>135</v>
          </cell>
        </row>
        <row r="14">
          <cell r="B14" t="str">
            <v>2,4-D AMINE 500ml x 24</v>
          </cell>
          <cell r="C14">
            <v>76.5</v>
          </cell>
        </row>
        <row r="15">
          <cell r="B15" t="str">
            <v>2,4-D AMINE 250ml x 48</v>
          </cell>
          <cell r="C15">
            <v>55</v>
          </cell>
        </row>
        <row r="16">
          <cell r="B16" t="str">
            <v>ACE 1000ml x 12</v>
          </cell>
          <cell r="C16">
            <v>345</v>
          </cell>
        </row>
        <row r="17">
          <cell r="B17" t="str">
            <v>ACE 250ml x 36</v>
          </cell>
          <cell r="C17">
            <v>93.5</v>
          </cell>
        </row>
        <row r="18">
          <cell r="B18" t="str">
            <v>ACE 500ml x 24</v>
          </cell>
          <cell r="C18">
            <v>165</v>
          </cell>
        </row>
        <row r="19">
          <cell r="B19" t="str">
            <v>ATRAK-KILL 1000g x 12</v>
          </cell>
          <cell r="C19">
            <v>120</v>
          </cell>
        </row>
        <row r="20">
          <cell r="B20" t="str">
            <v>ATRAZINE 1000g x 12</v>
          </cell>
          <cell r="C20">
            <v>315</v>
          </cell>
        </row>
        <row r="21">
          <cell r="B21" t="str">
            <v>DRAW 1000ml x 12</v>
          </cell>
          <cell r="C21">
            <v>268.5</v>
          </cell>
        </row>
        <row r="22">
          <cell r="B22" t="str">
            <v>GLYPHOSEL 1000ml x 12</v>
          </cell>
          <cell r="C22">
            <v>185</v>
          </cell>
        </row>
        <row r="23">
          <cell r="B23" t="str">
            <v>GLYPHOSEL gal 3.75L x 6</v>
          </cell>
          <cell r="C23">
            <v>656.25</v>
          </cell>
        </row>
        <row r="24">
          <cell r="B24" t="str">
            <v>HOOK 1000ml x 12</v>
          </cell>
          <cell r="C24">
            <v>280</v>
          </cell>
        </row>
        <row r="25">
          <cell r="B25" t="str">
            <v>JAKPOT 1000ml x 12</v>
          </cell>
          <cell r="C25">
            <v>198</v>
          </cell>
        </row>
        <row r="26">
          <cell r="B26" t="str">
            <v>JAKPOT 100ml x 72</v>
          </cell>
          <cell r="C26">
            <v>35.6</v>
          </cell>
        </row>
        <row r="27">
          <cell r="B27" t="str">
            <v>JAKPOT 100ml x 120</v>
          </cell>
          <cell r="C27">
            <v>27.3</v>
          </cell>
        </row>
        <row r="28">
          <cell r="B28" t="str">
            <v>JAKPOT 250ml x 36</v>
          </cell>
          <cell r="C28">
            <v>73.75</v>
          </cell>
        </row>
        <row r="29">
          <cell r="B29" t="str">
            <v>JAKPOT 500ml x 24</v>
          </cell>
          <cell r="C29">
            <v>110</v>
          </cell>
        </row>
        <row r="30">
          <cell r="B30" t="str">
            <v>JAKPOT 250ml x 48</v>
          </cell>
          <cell r="C30">
            <v>59.5</v>
          </cell>
        </row>
        <row r="31">
          <cell r="B31" t="str">
            <v>KING 1000ml x 12</v>
          </cell>
          <cell r="C31">
            <v>150</v>
          </cell>
        </row>
        <row r="32">
          <cell r="B32" t="str">
            <v>KING 100ml x 72</v>
          </cell>
          <cell r="C32">
            <v>22.7</v>
          </cell>
        </row>
        <row r="33">
          <cell r="B33" t="str">
            <v>KING 250ml x 36</v>
          </cell>
          <cell r="C33">
            <v>47</v>
          </cell>
        </row>
        <row r="34">
          <cell r="B34" t="str">
            <v>KING 500ml x 24</v>
          </cell>
          <cell r="C34">
            <v>79.81</v>
          </cell>
        </row>
        <row r="35">
          <cell r="B35" t="str">
            <v>KUTTER 1000ml x 12</v>
          </cell>
          <cell r="C35">
            <v>120</v>
          </cell>
        </row>
        <row r="36">
          <cell r="B36" t="str">
            <v>KUTTER 4L x 4</v>
          </cell>
          <cell r="C36">
            <v>420</v>
          </cell>
        </row>
        <row r="37">
          <cell r="B37" t="str">
            <v>LIBRA 1000ml x 12</v>
          </cell>
          <cell r="C37">
            <v>150</v>
          </cell>
        </row>
        <row r="38">
          <cell r="B38" t="str">
            <v>LIBRA 500ml x 24</v>
          </cell>
          <cell r="C38">
            <v>79.81</v>
          </cell>
        </row>
        <row r="39">
          <cell r="B39" t="str">
            <v>MALATHION 1000ml x 12</v>
          </cell>
          <cell r="C39">
            <v>230</v>
          </cell>
        </row>
        <row r="40">
          <cell r="B40" t="str">
            <v>MALATHION 100ml x 120</v>
          </cell>
          <cell r="C40">
            <v>23.7</v>
          </cell>
        </row>
        <row r="41">
          <cell r="B41" t="str">
            <v>MALATHION 250ml x 48</v>
          </cell>
          <cell r="C41">
            <v>52.5</v>
          </cell>
        </row>
        <row r="42">
          <cell r="B42" t="str">
            <v>MALATHION 500ml x 24</v>
          </cell>
          <cell r="C42">
            <v>92</v>
          </cell>
        </row>
        <row r="43">
          <cell r="B43" t="str">
            <v>MEGAZINC PLUS 1000ml x 12</v>
          </cell>
          <cell r="C43">
            <v>140</v>
          </cell>
        </row>
        <row r="44">
          <cell r="B44" t="str">
            <v>PACAZEB 1000g x 12</v>
          </cell>
          <cell r="C44">
            <v>273</v>
          </cell>
        </row>
        <row r="45">
          <cell r="B45" t="str">
            <v>PACAZEB 3lbs x 8</v>
          </cell>
          <cell r="C45">
            <v>364.48</v>
          </cell>
        </row>
        <row r="46">
          <cell r="B46" t="str">
            <v>DRAW 1000ml x 12</v>
          </cell>
          <cell r="C46">
            <v>268.5</v>
          </cell>
        </row>
        <row r="47">
          <cell r="B47" t="str">
            <v>QUADRO 1000g x 10</v>
          </cell>
          <cell r="C47">
            <v>575</v>
          </cell>
        </row>
        <row r="48">
          <cell r="B48" t="str">
            <v>QUADRO 50g x 200</v>
          </cell>
          <cell r="C48">
            <v>32.25</v>
          </cell>
        </row>
        <row r="49">
          <cell r="B49" t="str">
            <v>QUEEN 1000ml x 12</v>
          </cell>
          <cell r="C49">
            <v>600</v>
          </cell>
        </row>
        <row r="50">
          <cell r="B50" t="str">
            <v>QUEEN 250ml x 36</v>
          </cell>
          <cell r="C50">
            <v>163.5</v>
          </cell>
        </row>
        <row r="51">
          <cell r="B51" t="str">
            <v>QUEEN 250ml x 48</v>
          </cell>
          <cell r="C51">
            <v>130</v>
          </cell>
        </row>
        <row r="52">
          <cell r="B52" t="str">
            <v>QUEEN 500ml x 24</v>
          </cell>
          <cell r="C52">
            <v>309</v>
          </cell>
        </row>
        <row r="53">
          <cell r="B53" t="str">
            <v>RAZER 250ml x 2 x 24</v>
          </cell>
          <cell r="C53">
            <v>700</v>
          </cell>
        </row>
        <row r="54">
          <cell r="B54" t="str">
            <v>RAZER 100ml x 2 x 36</v>
          </cell>
          <cell r="C54">
            <v>244</v>
          </cell>
        </row>
        <row r="55">
          <cell r="B55" t="str">
            <v>SOLITAIRE 100g x 5 x 12</v>
          </cell>
          <cell r="C55">
            <v>68.5</v>
          </cell>
        </row>
        <row r="56">
          <cell r="B56" t="str">
            <v>STAMINA 1000ml x 12</v>
          </cell>
          <cell r="C56">
            <v>930</v>
          </cell>
        </row>
        <row r="57">
          <cell r="B57" t="str">
            <v>STAMINA 100ml x 72</v>
          </cell>
          <cell r="C57">
            <v>134.1</v>
          </cell>
        </row>
        <row r="58">
          <cell r="B58" t="str">
            <v>STAMINA 250ml x 36</v>
          </cell>
          <cell r="C58">
            <v>225.75</v>
          </cell>
        </row>
        <row r="59">
          <cell r="B59" t="str">
            <v>STAMINA 500ml x 24</v>
          </cell>
          <cell r="C59">
            <v>488.25</v>
          </cell>
        </row>
        <row r="60">
          <cell r="B60" t="str">
            <v>SUREWIN 100g x 50</v>
          </cell>
          <cell r="C60">
            <v>65</v>
          </cell>
        </row>
        <row r="61">
          <cell r="B61" t="str">
            <v>TRIBAND 500g x 24</v>
          </cell>
          <cell r="C61">
            <v>305</v>
          </cell>
        </row>
        <row r="62">
          <cell r="B62" t="str">
            <v>TRICE 350g</v>
          </cell>
          <cell r="C62">
            <v>381.5</v>
          </cell>
        </row>
        <row r="63">
          <cell r="B63" t="str">
            <v>TRICE 350g x 24</v>
          </cell>
          <cell r="C63">
            <v>381.5</v>
          </cell>
        </row>
        <row r="64">
          <cell r="B64" t="str">
            <v>TRIOPLUS 1000g x 12</v>
          </cell>
          <cell r="C64">
            <v>110</v>
          </cell>
        </row>
        <row r="65">
          <cell r="B65" t="str">
            <v>TRIZEB 1000g x 12</v>
          </cell>
          <cell r="C65">
            <v>258</v>
          </cell>
        </row>
        <row r="66">
          <cell r="B66" t="str">
            <v>TRIZEB 3lbs x 8</v>
          </cell>
          <cell r="C66">
            <v>344.08</v>
          </cell>
        </row>
        <row r="67">
          <cell r="B67" t="str">
            <v>TRIZEB B x 25</v>
          </cell>
          <cell r="C67">
            <v>230</v>
          </cell>
        </row>
        <row r="68">
          <cell r="B68" t="str">
            <v>ULTIMA 1000ml x 12</v>
          </cell>
          <cell r="C68">
            <v>475</v>
          </cell>
        </row>
        <row r="69">
          <cell r="B69" t="str">
            <v>ULTIMA 500ml x 24</v>
          </cell>
          <cell r="C69">
            <v>207.5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">
          <cell r="B5" t="str">
            <v>PRODUCT</v>
          </cell>
          <cell r="C5" t="str">
            <v>UP</v>
          </cell>
        </row>
        <row r="6">
          <cell r="B6" t="str">
            <v>2,4-D AMINE drum x 200L</v>
          </cell>
          <cell r="C6">
            <v>23000</v>
          </cell>
        </row>
        <row r="7">
          <cell r="B7" t="str">
            <v>2,4-D AMINE 1gal x 6</v>
          </cell>
          <cell r="C7">
            <v>485</v>
          </cell>
        </row>
        <row r="8">
          <cell r="B8" t="str">
            <v>2,4-D AMINE gal 3.75L x 6</v>
          </cell>
          <cell r="C8">
            <v>485</v>
          </cell>
        </row>
        <row r="9">
          <cell r="B9" t="str">
            <v>2,4-D ESTER 1000ml x 12</v>
          </cell>
          <cell r="C9">
            <v>200</v>
          </cell>
        </row>
        <row r="10">
          <cell r="B10" t="str">
            <v>2,4-D ESTER 250ml x 36</v>
          </cell>
          <cell r="C10">
            <v>62</v>
          </cell>
        </row>
        <row r="11">
          <cell r="B11" t="str">
            <v>2,4-D ESTER 250ml x 48</v>
          </cell>
          <cell r="C11">
            <v>62</v>
          </cell>
        </row>
        <row r="12">
          <cell r="B12" t="str">
            <v>2,4-D ESTER 500ml x 24</v>
          </cell>
          <cell r="C12">
            <v>109</v>
          </cell>
        </row>
        <row r="13">
          <cell r="B13" t="str">
            <v>2,4-D AMINE 1000ml x 12</v>
          </cell>
          <cell r="C13">
            <v>135</v>
          </cell>
        </row>
        <row r="14">
          <cell r="B14" t="str">
            <v>2,4-D AMINE 500ml x 24</v>
          </cell>
          <cell r="C14">
            <v>72</v>
          </cell>
        </row>
        <row r="15">
          <cell r="B15" t="str">
            <v>2,4-D AMINE 250ml x 48</v>
          </cell>
          <cell r="C15">
            <v>45</v>
          </cell>
        </row>
        <row r="16">
          <cell r="B16" t="str">
            <v>ACE 1000ml x 12</v>
          </cell>
          <cell r="C16">
            <v>300</v>
          </cell>
        </row>
        <row r="17">
          <cell r="B17" t="str">
            <v>ACE 250ml x 36</v>
          </cell>
          <cell r="C17">
            <v>88.5</v>
          </cell>
        </row>
        <row r="18">
          <cell r="B18" t="str">
            <v>ACE 500ml x 24</v>
          </cell>
          <cell r="C18">
            <v>161</v>
          </cell>
        </row>
        <row r="19">
          <cell r="B19" t="str">
            <v>ATRAK-KILL 1000g x 12</v>
          </cell>
          <cell r="C19">
            <v>120</v>
          </cell>
        </row>
        <row r="20">
          <cell r="B20" t="str">
            <v>ATRAZINE 1000g x 12</v>
          </cell>
          <cell r="C20">
            <v>290</v>
          </cell>
        </row>
        <row r="21">
          <cell r="B21" t="str">
            <v>DRAW 1000ml x 12</v>
          </cell>
          <cell r="C21">
            <v>225</v>
          </cell>
        </row>
        <row r="22">
          <cell r="B22" t="str">
            <v>GLYPHOSEL 1000ml x 12</v>
          </cell>
          <cell r="C22">
            <v>171</v>
          </cell>
        </row>
        <row r="23">
          <cell r="B23" t="str">
            <v>GLYPHOSEL gal 3.75L x 6</v>
          </cell>
          <cell r="C23">
            <v>603.75</v>
          </cell>
        </row>
        <row r="24">
          <cell r="B24" t="str">
            <v>HOOK 1000ml x 12</v>
          </cell>
          <cell r="C24">
            <v>280</v>
          </cell>
        </row>
        <row r="25">
          <cell r="B25" t="str">
            <v>JAKPOT 1000ml x 12</v>
          </cell>
          <cell r="C25">
            <v>198</v>
          </cell>
        </row>
        <row r="26">
          <cell r="B26" t="str">
            <v>JAKPOT 100ml x 72</v>
          </cell>
          <cell r="C26">
            <v>35.6</v>
          </cell>
        </row>
        <row r="27">
          <cell r="B27" t="str">
            <v>JAKPOT 250ml x 36</v>
          </cell>
          <cell r="C27">
            <v>73.75</v>
          </cell>
        </row>
        <row r="28">
          <cell r="B28" t="str">
            <v>JAKPOT 500ml x 24</v>
          </cell>
          <cell r="C28">
            <v>110</v>
          </cell>
        </row>
        <row r="29">
          <cell r="B29" t="str">
            <v>JAKPOT 250ml x 48</v>
          </cell>
          <cell r="C29">
            <v>54.5</v>
          </cell>
        </row>
        <row r="30">
          <cell r="B30" t="str">
            <v>KING 1000ml x 12</v>
          </cell>
          <cell r="C30">
            <v>150</v>
          </cell>
        </row>
        <row r="31">
          <cell r="B31" t="str">
            <v>KING 100ml x 72</v>
          </cell>
          <cell r="C31">
            <v>22.7</v>
          </cell>
        </row>
        <row r="32">
          <cell r="B32" t="str">
            <v>KING 250ml x 36</v>
          </cell>
          <cell r="C32">
            <v>47</v>
          </cell>
        </row>
        <row r="33">
          <cell r="B33" t="str">
            <v>KING 500ml x 24</v>
          </cell>
          <cell r="C33">
            <v>79.81</v>
          </cell>
        </row>
        <row r="34">
          <cell r="B34" t="str">
            <v>KUTTER 1000ml x 12</v>
          </cell>
          <cell r="C34">
            <v>120</v>
          </cell>
        </row>
        <row r="35">
          <cell r="B35" t="str">
            <v>KUTTER 4L x 4</v>
          </cell>
          <cell r="C35">
            <v>420</v>
          </cell>
        </row>
        <row r="36">
          <cell r="B36" t="str">
            <v>LIBRA 1000ml x 12</v>
          </cell>
          <cell r="C36">
            <v>150</v>
          </cell>
        </row>
        <row r="37">
          <cell r="B37" t="str">
            <v>LIBRA 500ml x 24</v>
          </cell>
          <cell r="C37">
            <v>79.81</v>
          </cell>
        </row>
        <row r="38">
          <cell r="B38" t="str">
            <v>MALATHION 1000ml x 12</v>
          </cell>
          <cell r="C38">
            <v>185</v>
          </cell>
        </row>
        <row r="39">
          <cell r="B39" t="str">
            <v>MALATHION 100ml x 120</v>
          </cell>
          <cell r="C39">
            <v>23.7</v>
          </cell>
        </row>
        <row r="40">
          <cell r="B40" t="str">
            <v>MALATHION 250ml x 48</v>
          </cell>
          <cell r="C40">
            <v>52.5</v>
          </cell>
        </row>
        <row r="41">
          <cell r="B41" t="str">
            <v>MALATHION 500ml x 24</v>
          </cell>
          <cell r="C41">
            <v>92</v>
          </cell>
        </row>
        <row r="42">
          <cell r="B42" t="str">
            <v>MEGAZINC PLUS 1000ml x 12</v>
          </cell>
          <cell r="C42">
            <v>140</v>
          </cell>
        </row>
        <row r="43">
          <cell r="B43" t="str">
            <v>PACAZEB 1000g x 12</v>
          </cell>
          <cell r="C43">
            <v>273</v>
          </cell>
        </row>
        <row r="44">
          <cell r="B44" t="str">
            <v>PACAZEB 3lbs x 8</v>
          </cell>
          <cell r="C44">
            <v>364.48</v>
          </cell>
        </row>
        <row r="45">
          <cell r="B45" t="str">
            <v>DRAW 1000ml x 12</v>
          </cell>
          <cell r="C45">
            <v>230</v>
          </cell>
        </row>
        <row r="46">
          <cell r="B46" t="str">
            <v>QUADRO 1000g x 10</v>
          </cell>
          <cell r="C46">
            <v>575</v>
          </cell>
        </row>
        <row r="47">
          <cell r="B47" t="str">
            <v>QUADRO 50g x 200</v>
          </cell>
          <cell r="C47">
            <v>32.25</v>
          </cell>
        </row>
        <row r="48">
          <cell r="B48" t="str">
            <v>QUEEN 1000ml x 12</v>
          </cell>
          <cell r="C48">
            <v>529.48</v>
          </cell>
        </row>
        <row r="49">
          <cell r="B49" t="str">
            <v>QUEEN 250ml x 36</v>
          </cell>
          <cell r="C49">
            <v>142.55000000000001</v>
          </cell>
        </row>
        <row r="50">
          <cell r="B50" t="str">
            <v>QUEEN 500ml x 24</v>
          </cell>
          <cell r="C50">
            <v>269.82</v>
          </cell>
        </row>
        <row r="51">
          <cell r="B51" t="str">
            <v>RAZER 250ml x 2 x 24</v>
          </cell>
          <cell r="C51">
            <v>700</v>
          </cell>
        </row>
        <row r="52">
          <cell r="B52" t="str">
            <v>RAZER 100ml x 2 x 36</v>
          </cell>
          <cell r="C52">
            <v>244</v>
          </cell>
        </row>
        <row r="53">
          <cell r="B53" t="str">
            <v>SOLITAIRE 100g x 5 x 12</v>
          </cell>
          <cell r="C53">
            <v>68.5</v>
          </cell>
        </row>
        <row r="54">
          <cell r="B54" t="str">
            <v>STAMINA 1000ml x 12</v>
          </cell>
          <cell r="C54">
            <v>930</v>
          </cell>
        </row>
        <row r="55">
          <cell r="B55" t="str">
            <v>STAMINA 100ml x 72</v>
          </cell>
          <cell r="C55">
            <v>134.1</v>
          </cell>
        </row>
        <row r="56">
          <cell r="B56" t="str">
            <v>STAMINA 250ml x 36</v>
          </cell>
          <cell r="C56">
            <v>225.75</v>
          </cell>
        </row>
        <row r="57">
          <cell r="B57" t="str">
            <v>STAMINA 500ml x 24</v>
          </cell>
          <cell r="C57">
            <v>488.25</v>
          </cell>
        </row>
        <row r="58">
          <cell r="B58" t="str">
            <v>SUREWIN 100g x 50</v>
          </cell>
          <cell r="C58">
            <v>65</v>
          </cell>
        </row>
        <row r="59">
          <cell r="B59" t="str">
            <v>TRIBAND 500g x 24</v>
          </cell>
          <cell r="C59">
            <v>270</v>
          </cell>
        </row>
        <row r="60">
          <cell r="B60" t="str">
            <v>TRICE 350g</v>
          </cell>
          <cell r="C60">
            <v>326</v>
          </cell>
        </row>
        <row r="61">
          <cell r="B61" t="str">
            <v>TRICE 350g x 24</v>
          </cell>
          <cell r="C61">
            <v>326</v>
          </cell>
        </row>
        <row r="62">
          <cell r="B62" t="str">
            <v>TRIOPLUS 1000g x 12</v>
          </cell>
          <cell r="C62">
            <v>110</v>
          </cell>
        </row>
        <row r="63">
          <cell r="B63" t="str">
            <v>TRIZEB 1000g x 12</v>
          </cell>
          <cell r="C63">
            <v>258</v>
          </cell>
        </row>
        <row r="64">
          <cell r="B64" t="str">
            <v>TRIZEB 3lbs x 8</v>
          </cell>
          <cell r="C64">
            <v>344.08</v>
          </cell>
        </row>
        <row r="65">
          <cell r="B65" t="str">
            <v>TRIZEB B x 25</v>
          </cell>
          <cell r="C65">
            <v>230</v>
          </cell>
        </row>
        <row r="66">
          <cell r="B66" t="str">
            <v>ULTIMA 1000ml x 12</v>
          </cell>
          <cell r="C66">
            <v>475</v>
          </cell>
        </row>
        <row r="67">
          <cell r="B67" t="str">
            <v>ULTIMA 500ml x 24</v>
          </cell>
          <cell r="C67">
            <v>207.5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5">
          <cell r="B5" t="str">
            <v>PRODUCT</v>
          </cell>
          <cell r="C5" t="str">
            <v>UP</v>
          </cell>
        </row>
        <row r="6">
          <cell r="B6" t="str">
            <v>2,4-D AMINE drum x 200L</v>
          </cell>
          <cell r="C6">
            <v>18000</v>
          </cell>
        </row>
        <row r="7">
          <cell r="B7" t="str">
            <v>2,4-D AMINE 1gal x 6</v>
          </cell>
          <cell r="C7">
            <v>450</v>
          </cell>
        </row>
        <row r="8">
          <cell r="B8" t="str">
            <v>2,4-D AMINE gal 3.75L x 6</v>
          </cell>
          <cell r="C8">
            <v>450</v>
          </cell>
        </row>
        <row r="9">
          <cell r="B9" t="str">
            <v>2,4-D ESTER 1000ml x 12</v>
          </cell>
          <cell r="C9">
            <v>190</v>
          </cell>
        </row>
        <row r="10">
          <cell r="B10" t="str">
            <v>2,4-D ESTER 250ml x 36</v>
          </cell>
          <cell r="C10">
            <v>61.5</v>
          </cell>
        </row>
        <row r="11">
          <cell r="B11" t="str">
            <v>2,4-D ESTER 500ml x 24</v>
          </cell>
          <cell r="C11">
            <v>109</v>
          </cell>
        </row>
        <row r="12">
          <cell r="B12" t="str">
            <v>2,4-D AMINE 1000ml x 12</v>
          </cell>
          <cell r="C12">
            <v>116</v>
          </cell>
        </row>
        <row r="13">
          <cell r="B13" t="str">
            <v>2,4-D AMINE 500ml x 24</v>
          </cell>
          <cell r="C13">
            <v>67</v>
          </cell>
        </row>
        <row r="14">
          <cell r="B14" t="str">
            <v>2,4-D AMINE 250ml x 36</v>
          </cell>
          <cell r="C14">
            <v>39</v>
          </cell>
        </row>
        <row r="15">
          <cell r="B15" t="str">
            <v>ACE 1000ml x 12</v>
          </cell>
          <cell r="C15">
            <v>300</v>
          </cell>
        </row>
        <row r="16">
          <cell r="B16" t="str">
            <v>ACE 250ml x 36</v>
          </cell>
          <cell r="C16">
            <v>88.5</v>
          </cell>
        </row>
        <row r="17">
          <cell r="B17" t="str">
            <v>ACE 500ml x 24</v>
          </cell>
          <cell r="C17">
            <v>161</v>
          </cell>
        </row>
        <row r="18">
          <cell r="B18" t="str">
            <v>ATRAK-KILL 1000g x 12</v>
          </cell>
          <cell r="C18">
            <v>120</v>
          </cell>
        </row>
        <row r="19">
          <cell r="B19" t="str">
            <v>ATRAZINE 1000g x 12</v>
          </cell>
          <cell r="C19">
            <v>290</v>
          </cell>
        </row>
        <row r="20">
          <cell r="B20" t="str">
            <v>DRAW 1000ml x 12</v>
          </cell>
          <cell r="C20">
            <v>225</v>
          </cell>
        </row>
        <row r="21">
          <cell r="B21" t="str">
            <v>GLYPHOSEL 1000ml x 12</v>
          </cell>
          <cell r="C21">
            <v>171</v>
          </cell>
        </row>
        <row r="22">
          <cell r="B22" t="str">
            <v>GLYPHOSEL gal 3.75L x 6</v>
          </cell>
          <cell r="C22">
            <v>603.75</v>
          </cell>
        </row>
        <row r="23">
          <cell r="B23" t="str">
            <v>HOOK 1000ml x 12</v>
          </cell>
          <cell r="C23">
            <v>225</v>
          </cell>
        </row>
        <row r="24">
          <cell r="B24" t="str">
            <v>JAKPOT 1000ml x 12</v>
          </cell>
          <cell r="C24">
            <v>190</v>
          </cell>
        </row>
        <row r="25">
          <cell r="B25" t="str">
            <v>JAKPOT 100ml x 72</v>
          </cell>
          <cell r="C25">
            <v>35.6</v>
          </cell>
        </row>
        <row r="26">
          <cell r="B26" t="str">
            <v>JAKPOT 250ml x 36</v>
          </cell>
          <cell r="C26">
            <v>73.75</v>
          </cell>
        </row>
        <row r="27">
          <cell r="B27" t="str">
            <v>JAKPOT 500ml x 24</v>
          </cell>
          <cell r="C27">
            <v>110</v>
          </cell>
        </row>
        <row r="28">
          <cell r="B28" t="str">
            <v>JAKPOT 250ml x 48</v>
          </cell>
          <cell r="C28">
            <v>54.5</v>
          </cell>
        </row>
        <row r="29">
          <cell r="B29" t="str">
            <v>KING 1000ml x 12</v>
          </cell>
          <cell r="C29">
            <v>127</v>
          </cell>
        </row>
        <row r="30">
          <cell r="B30" t="str">
            <v>KING 100ml x 72</v>
          </cell>
          <cell r="C30">
            <v>22.7</v>
          </cell>
        </row>
        <row r="31">
          <cell r="B31" t="str">
            <v>KING 250ml x 36</v>
          </cell>
          <cell r="C31">
            <v>47</v>
          </cell>
        </row>
        <row r="32">
          <cell r="B32" t="str">
            <v>KING 500ml x 24</v>
          </cell>
          <cell r="C32">
            <v>79.81</v>
          </cell>
        </row>
        <row r="33">
          <cell r="B33" t="str">
            <v>KUTTER 1000ml x 12</v>
          </cell>
          <cell r="C33">
            <v>120</v>
          </cell>
        </row>
        <row r="34">
          <cell r="B34" t="str">
            <v>KUTTER 4L x 4</v>
          </cell>
          <cell r="C34">
            <v>420</v>
          </cell>
        </row>
        <row r="35">
          <cell r="B35" t="str">
            <v>LIBRA 1000ml x 12</v>
          </cell>
          <cell r="C35">
            <v>127</v>
          </cell>
        </row>
        <row r="36">
          <cell r="B36" t="str">
            <v>LIBRA 500ml x 24</v>
          </cell>
          <cell r="C36">
            <v>74</v>
          </cell>
        </row>
        <row r="37">
          <cell r="B37" t="str">
            <v>MALATHION 1000ml x 12</v>
          </cell>
          <cell r="C37">
            <v>170</v>
          </cell>
        </row>
        <row r="38">
          <cell r="B38" t="str">
            <v>MALATHION 100ml x 120</v>
          </cell>
          <cell r="C38">
            <v>23.7</v>
          </cell>
        </row>
        <row r="39">
          <cell r="B39" t="str">
            <v>MALATHION 250ml x 48</v>
          </cell>
          <cell r="C39">
            <v>52.5</v>
          </cell>
        </row>
        <row r="40">
          <cell r="B40" t="str">
            <v>MALATHION 500ml x 24</v>
          </cell>
          <cell r="C40">
            <v>92</v>
          </cell>
        </row>
        <row r="41">
          <cell r="B41" t="str">
            <v>MEGAZINC PLUS 1000ml x 12</v>
          </cell>
          <cell r="C41">
            <v>140</v>
          </cell>
        </row>
        <row r="42">
          <cell r="B42" t="str">
            <v>PACAZEB 1000g x 12</v>
          </cell>
          <cell r="C42">
            <v>225</v>
          </cell>
        </row>
        <row r="43">
          <cell r="B43" t="str">
            <v>PACAZEB 3lbs x 8</v>
          </cell>
          <cell r="C43">
            <v>306.81</v>
          </cell>
        </row>
        <row r="44">
          <cell r="B44" t="str">
            <v>POGUE 1000ml x 12</v>
          </cell>
          <cell r="C44">
            <v>230</v>
          </cell>
        </row>
        <row r="45">
          <cell r="B45" t="str">
            <v>QUADRO 1000g x 10</v>
          </cell>
          <cell r="C45">
            <v>565</v>
          </cell>
        </row>
        <row r="46">
          <cell r="B46" t="str">
            <v>QUADRO 50g x 200</v>
          </cell>
          <cell r="C46">
            <v>29.5</v>
          </cell>
        </row>
        <row r="47">
          <cell r="B47" t="str">
            <v>QUEEN 1000ml x 12</v>
          </cell>
          <cell r="C47">
            <v>529.48</v>
          </cell>
        </row>
        <row r="48">
          <cell r="B48" t="str">
            <v>QUEEN 250ml x 36</v>
          </cell>
          <cell r="C48">
            <v>142.55000000000001</v>
          </cell>
        </row>
        <row r="49">
          <cell r="B49" t="str">
            <v>QUEEN 500ml x 24</v>
          </cell>
          <cell r="C49">
            <v>269.82</v>
          </cell>
        </row>
        <row r="50">
          <cell r="B50" t="str">
            <v>RAZER 250ml x 2 x 24</v>
          </cell>
          <cell r="C50">
            <v>700</v>
          </cell>
        </row>
        <row r="51">
          <cell r="B51" t="str">
            <v>RAZER 100ml x 2 x 36</v>
          </cell>
          <cell r="C51">
            <v>244</v>
          </cell>
        </row>
        <row r="52">
          <cell r="B52" t="str">
            <v>SOLITAIRE 100g x 5 x 12</v>
          </cell>
          <cell r="C52">
            <v>59</v>
          </cell>
        </row>
        <row r="53">
          <cell r="B53" t="str">
            <v>STAMINA 1000ml x 12</v>
          </cell>
          <cell r="C53">
            <v>930</v>
          </cell>
        </row>
        <row r="54">
          <cell r="B54" t="str">
            <v>STAMINA 100ml x 72</v>
          </cell>
          <cell r="C54">
            <v>134.1</v>
          </cell>
        </row>
        <row r="55">
          <cell r="B55" t="str">
            <v>STAMINA 250ml x 36</v>
          </cell>
          <cell r="C55">
            <v>225.75</v>
          </cell>
        </row>
        <row r="56">
          <cell r="B56" t="str">
            <v>STAMINA 500ml x 24</v>
          </cell>
          <cell r="C56">
            <v>488.25</v>
          </cell>
        </row>
        <row r="57">
          <cell r="B57" t="str">
            <v>SUREWIN 100g x 50</v>
          </cell>
          <cell r="C57">
            <v>65</v>
          </cell>
        </row>
        <row r="58">
          <cell r="B58" t="str">
            <v>TRIBAND 500g x 24</v>
          </cell>
          <cell r="C58">
            <v>270</v>
          </cell>
        </row>
        <row r="59">
          <cell r="B59" t="str">
            <v>TRICE 350g</v>
          </cell>
          <cell r="C59">
            <v>293.685</v>
          </cell>
        </row>
        <row r="60">
          <cell r="B60" t="str">
            <v>TRICE 350g x 24</v>
          </cell>
          <cell r="C60">
            <v>293.685</v>
          </cell>
        </row>
        <row r="61">
          <cell r="B61" t="str">
            <v>TRIOPLUS 1000g x 12</v>
          </cell>
          <cell r="C61">
            <v>110</v>
          </cell>
        </row>
        <row r="62">
          <cell r="B62" t="str">
            <v>TRIZEB 1000g x 12</v>
          </cell>
          <cell r="C62">
            <v>225</v>
          </cell>
        </row>
        <row r="63">
          <cell r="B63" t="str">
            <v>TRIZEB 3lbs x 8</v>
          </cell>
          <cell r="C63">
            <v>300</v>
          </cell>
        </row>
        <row r="64">
          <cell r="B64" t="str">
            <v>TRIZEB B x 25</v>
          </cell>
          <cell r="C64">
            <v>180</v>
          </cell>
        </row>
        <row r="65">
          <cell r="B65" t="str">
            <v>ULTIMA 1000ml x 12</v>
          </cell>
          <cell r="C65">
            <v>400</v>
          </cell>
        </row>
        <row r="66">
          <cell r="B66" t="str">
            <v>ULTIMA 500ml x 24</v>
          </cell>
          <cell r="C66">
            <v>207.5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232">
          <cell r="B232" t="str">
            <v>PRODUCT</v>
          </cell>
          <cell r="C232" t="str">
            <v>UP</v>
          </cell>
        </row>
        <row r="233">
          <cell r="B233" t="str">
            <v>2,4-D AMINE drum x 200L</v>
          </cell>
          <cell r="C233">
            <v>16000</v>
          </cell>
        </row>
        <row r="234">
          <cell r="B234" t="str">
            <v>2,4-D ESTER 1000ml x 12</v>
          </cell>
          <cell r="C234">
            <v>168</v>
          </cell>
        </row>
        <row r="235">
          <cell r="B235" t="str">
            <v>2,4-D ESTER 250ml x 36</v>
          </cell>
          <cell r="C235">
            <v>61.5</v>
          </cell>
        </row>
        <row r="236">
          <cell r="B236" t="str">
            <v>2,4-D ESTER 500ml x 24</v>
          </cell>
          <cell r="C236">
            <v>109</v>
          </cell>
        </row>
        <row r="237">
          <cell r="B237" t="str">
            <v>ACE 1000ml x 12</v>
          </cell>
          <cell r="C237">
            <v>300</v>
          </cell>
        </row>
        <row r="238">
          <cell r="B238" t="str">
            <v>ACE 250ml x 36</v>
          </cell>
          <cell r="C238">
            <v>88.5</v>
          </cell>
        </row>
        <row r="239">
          <cell r="B239" t="str">
            <v>ACE 500ml x 24</v>
          </cell>
          <cell r="C239">
            <v>161</v>
          </cell>
        </row>
        <row r="240">
          <cell r="B240" t="str">
            <v>ATRAK-KILL 1000g x 12</v>
          </cell>
          <cell r="C240">
            <v>120</v>
          </cell>
        </row>
        <row r="241">
          <cell r="B241" t="str">
            <v>ATRAZINE 1000g x 12</v>
          </cell>
          <cell r="C241">
            <v>290</v>
          </cell>
        </row>
        <row r="242">
          <cell r="B242" t="str">
            <v>GLYPHOSEL 1000ml x 12</v>
          </cell>
          <cell r="C242">
            <v>169</v>
          </cell>
        </row>
        <row r="243">
          <cell r="B243" t="str">
            <v>GLYPHOSEL gal 3.75L x 6</v>
          </cell>
          <cell r="C243">
            <v>596.25</v>
          </cell>
        </row>
        <row r="244">
          <cell r="B244" t="str">
            <v>HOOK 1000ml x 12</v>
          </cell>
          <cell r="C244">
            <v>225</v>
          </cell>
        </row>
        <row r="245">
          <cell r="B245" t="str">
            <v>JAKPOT 1000ml x 12</v>
          </cell>
          <cell r="C245">
            <v>240</v>
          </cell>
        </row>
        <row r="246">
          <cell r="B246" t="str">
            <v>JAKPOT 100ml x 72</v>
          </cell>
          <cell r="C246">
            <v>35.6</v>
          </cell>
        </row>
        <row r="247">
          <cell r="B247" t="str">
            <v>JAKPOT 250ml x 36</v>
          </cell>
          <cell r="C247">
            <v>86.25</v>
          </cell>
        </row>
        <row r="248">
          <cell r="B248" t="str">
            <v>JAKPOT 500ml x 24</v>
          </cell>
          <cell r="C248">
            <v>135</v>
          </cell>
        </row>
        <row r="249">
          <cell r="B249" t="str">
            <v>KING 1000ml x 12</v>
          </cell>
          <cell r="C249">
            <v>127</v>
          </cell>
        </row>
        <row r="250">
          <cell r="B250" t="str">
            <v>KING 100ml x 72</v>
          </cell>
          <cell r="C250">
            <v>22.7</v>
          </cell>
        </row>
        <row r="251">
          <cell r="B251" t="str">
            <v>KING 250ml x 36</v>
          </cell>
          <cell r="C251">
            <v>42.97</v>
          </cell>
        </row>
        <row r="252">
          <cell r="B252" t="str">
            <v>KING 500ml x 24</v>
          </cell>
          <cell r="C252">
            <v>93.92</v>
          </cell>
        </row>
        <row r="253">
          <cell r="B253" t="str">
            <v>KUTTER 1000ml x 12</v>
          </cell>
          <cell r="C253">
            <v>110</v>
          </cell>
        </row>
        <row r="254">
          <cell r="B254" t="str">
            <v>KUTTER gal 4L x 4</v>
          </cell>
          <cell r="C254">
            <v>420</v>
          </cell>
        </row>
        <row r="255">
          <cell r="B255" t="str">
            <v>LIBRA 1000ml x 12</v>
          </cell>
          <cell r="C255">
            <v>127</v>
          </cell>
        </row>
        <row r="256">
          <cell r="B256" t="str">
            <v>LIBRA 500ml x 24</v>
          </cell>
          <cell r="C256">
            <v>74</v>
          </cell>
        </row>
        <row r="257">
          <cell r="B257" t="str">
            <v>MALATHION 1000ml x 12</v>
          </cell>
          <cell r="C257">
            <v>170</v>
          </cell>
        </row>
        <row r="258">
          <cell r="B258" t="str">
            <v>MALATHION 100ml x 120</v>
          </cell>
          <cell r="C258">
            <v>23.7</v>
          </cell>
        </row>
        <row r="259">
          <cell r="B259" t="str">
            <v>MALATHION 250ml x 48</v>
          </cell>
          <cell r="C259">
            <v>52.5</v>
          </cell>
        </row>
        <row r="260">
          <cell r="B260" t="str">
            <v>MALATHION 500ml x 24</v>
          </cell>
          <cell r="C260">
            <v>92</v>
          </cell>
        </row>
        <row r="261">
          <cell r="B261" t="str">
            <v>MEGAZINC PLUS 1000ml x 12</v>
          </cell>
          <cell r="C261">
            <v>89</v>
          </cell>
        </row>
        <row r="262">
          <cell r="B262" t="str">
            <v>PACAZEB 1000g x 12</v>
          </cell>
          <cell r="C262">
            <v>225</v>
          </cell>
        </row>
        <row r="263">
          <cell r="B263" t="str">
            <v>PACAZEB 3lbs x 8</v>
          </cell>
          <cell r="C263">
            <v>306.81</v>
          </cell>
        </row>
        <row r="264">
          <cell r="B264" t="str">
            <v>POGUE 1000ml x 12</v>
          </cell>
          <cell r="C264">
            <v>230</v>
          </cell>
        </row>
        <row r="265">
          <cell r="B265" t="str">
            <v>QUADRO 1000g x 10</v>
          </cell>
          <cell r="C265">
            <v>565</v>
          </cell>
        </row>
        <row r="266">
          <cell r="B266" t="str">
            <v>QUADRO 50g x 200</v>
          </cell>
          <cell r="C266">
            <v>29.5</v>
          </cell>
        </row>
        <row r="267">
          <cell r="B267" t="str">
            <v>QUEEN 1000ml x 12</v>
          </cell>
          <cell r="C267">
            <v>529.48</v>
          </cell>
        </row>
        <row r="268">
          <cell r="B268" t="str">
            <v>QUEEN 250ml x 36</v>
          </cell>
          <cell r="C268">
            <v>142.55000000000001</v>
          </cell>
        </row>
        <row r="269">
          <cell r="B269" t="str">
            <v>QUEEN 500ml x 24</v>
          </cell>
          <cell r="C269">
            <v>269.82</v>
          </cell>
        </row>
        <row r="270">
          <cell r="B270" t="str">
            <v>RAZER 250ml x 2 x 24</v>
          </cell>
          <cell r="C270">
            <v>700</v>
          </cell>
        </row>
        <row r="271">
          <cell r="B271" t="str">
            <v>SOLITAIRE 100g x 5 x 12</v>
          </cell>
          <cell r="C271">
            <v>59</v>
          </cell>
        </row>
        <row r="272">
          <cell r="B272" t="str">
            <v>STAMINA 1000ml x 12</v>
          </cell>
          <cell r="C272">
            <v>930</v>
          </cell>
        </row>
        <row r="273">
          <cell r="B273" t="str">
            <v>STAMINA 100ml x 72</v>
          </cell>
          <cell r="C273">
            <v>134.1</v>
          </cell>
        </row>
        <row r="274">
          <cell r="B274" t="str">
            <v>STAMINA 250ml x 36</v>
          </cell>
          <cell r="C274">
            <v>225.75</v>
          </cell>
        </row>
        <row r="275">
          <cell r="B275" t="str">
            <v>STAMINA 500ml x 24</v>
          </cell>
          <cell r="C275">
            <v>488.25</v>
          </cell>
        </row>
        <row r="276">
          <cell r="B276" t="str">
            <v>SUREWIN 100g x 50</v>
          </cell>
          <cell r="C276">
            <v>65</v>
          </cell>
        </row>
        <row r="277">
          <cell r="B277" t="str">
            <v>TRIBAND 500g x 24</v>
          </cell>
          <cell r="C277">
            <v>270</v>
          </cell>
        </row>
        <row r="278">
          <cell r="B278" t="str">
            <v>TRICE 350g</v>
          </cell>
          <cell r="C278">
            <v>343.685</v>
          </cell>
        </row>
        <row r="279">
          <cell r="B279" t="str">
            <v>TRICE 350g x 24</v>
          </cell>
          <cell r="C279">
            <v>343.685</v>
          </cell>
        </row>
        <row r="280">
          <cell r="B280" t="str">
            <v>TRIOPLUS 1000g x 12</v>
          </cell>
          <cell r="C280">
            <v>110</v>
          </cell>
        </row>
        <row r="281">
          <cell r="B281" t="str">
            <v>TRIZEB 1000g x 12</v>
          </cell>
          <cell r="C281">
            <v>225</v>
          </cell>
        </row>
        <row r="282">
          <cell r="B282" t="str">
            <v>TRIZEB 3lbs x 8</v>
          </cell>
          <cell r="C282">
            <v>300</v>
          </cell>
        </row>
        <row r="283">
          <cell r="B283" t="str">
            <v>TRIZEB B x 25</v>
          </cell>
          <cell r="C283">
            <v>180</v>
          </cell>
        </row>
        <row r="284">
          <cell r="B284" t="str">
            <v>ULTIMA 1000ml x 12</v>
          </cell>
          <cell r="C284">
            <v>400</v>
          </cell>
        </row>
        <row r="285">
          <cell r="B285" t="str">
            <v>ULTIMA 500ml x 24</v>
          </cell>
          <cell r="C285">
            <v>207.5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201">
          <cell r="B201" t="str">
            <v>PRODUCT</v>
          </cell>
          <cell r="C201" t="str">
            <v>UP</v>
          </cell>
        </row>
        <row r="202">
          <cell r="B202" t="str">
            <v>2,4-D AMINE drum x 200L</v>
          </cell>
          <cell r="C202">
            <v>16000</v>
          </cell>
        </row>
        <row r="203">
          <cell r="B203" t="str">
            <v>2,4-D ESTER 1000ml x 12</v>
          </cell>
          <cell r="C203">
            <v>190</v>
          </cell>
        </row>
        <row r="204">
          <cell r="B204" t="str">
            <v>2,4-D ESTER 250ml x 36</v>
          </cell>
          <cell r="C204">
            <v>61.5</v>
          </cell>
        </row>
        <row r="205">
          <cell r="B205" t="str">
            <v>2,4-D ESTER 500ml x 24</v>
          </cell>
          <cell r="C205">
            <v>109</v>
          </cell>
        </row>
        <row r="206">
          <cell r="B206" t="str">
            <v>ACE 1000ml x 12</v>
          </cell>
          <cell r="C206">
            <v>300</v>
          </cell>
        </row>
        <row r="207">
          <cell r="B207" t="str">
            <v>ACE 250ml x 36</v>
          </cell>
          <cell r="C207">
            <v>88.5</v>
          </cell>
        </row>
        <row r="208">
          <cell r="B208" t="str">
            <v>ACE 500ml x 24</v>
          </cell>
          <cell r="C208">
            <v>161</v>
          </cell>
        </row>
        <row r="209">
          <cell r="B209" t="str">
            <v>ATRAK-KILL 1000g x 12</v>
          </cell>
          <cell r="C209">
            <v>120</v>
          </cell>
        </row>
        <row r="210">
          <cell r="B210" t="str">
            <v>ATRAZINE 1000g x 12</v>
          </cell>
          <cell r="C210">
            <v>290</v>
          </cell>
        </row>
        <row r="211">
          <cell r="B211" t="str">
            <v>GLYPHOSEL 1000ml x 12</v>
          </cell>
          <cell r="C211">
            <v>169</v>
          </cell>
        </row>
        <row r="212">
          <cell r="B212" t="str">
            <v>GLYPHOSEL gal 3.75L x 6</v>
          </cell>
          <cell r="C212">
            <v>596.25</v>
          </cell>
        </row>
        <row r="213">
          <cell r="B213" t="str">
            <v>HOOK 1000ml x 12</v>
          </cell>
          <cell r="C213">
            <v>225</v>
          </cell>
        </row>
        <row r="214">
          <cell r="B214" t="str">
            <v>JAKPOT 1000ml x 12</v>
          </cell>
          <cell r="C214">
            <v>240</v>
          </cell>
        </row>
        <row r="215">
          <cell r="B215" t="str">
            <v>JAKPOT 100ml x 72</v>
          </cell>
          <cell r="C215">
            <v>35.6</v>
          </cell>
        </row>
        <row r="216">
          <cell r="B216" t="str">
            <v>JAKPOT 250ml x 36</v>
          </cell>
          <cell r="C216">
            <v>86.25</v>
          </cell>
        </row>
        <row r="217">
          <cell r="B217" t="str">
            <v>JAKPOT 500ml x 24</v>
          </cell>
          <cell r="C217">
            <v>135</v>
          </cell>
        </row>
        <row r="218">
          <cell r="B218" t="str">
            <v>KING 1000ml x 12</v>
          </cell>
          <cell r="C218">
            <v>172.26</v>
          </cell>
        </row>
        <row r="219">
          <cell r="B219" t="str">
            <v>KING 100ml x 72</v>
          </cell>
          <cell r="C219">
            <v>22.7</v>
          </cell>
        </row>
        <row r="220">
          <cell r="B220" t="str">
            <v>KING 250ml x 36</v>
          </cell>
          <cell r="C220">
            <v>42.74</v>
          </cell>
        </row>
        <row r="221">
          <cell r="B221" t="str">
            <v>KING 500ml x 24</v>
          </cell>
          <cell r="C221">
            <v>93.92</v>
          </cell>
        </row>
        <row r="222">
          <cell r="B222" t="str">
            <v>KUTTER 1000ml x 12</v>
          </cell>
          <cell r="C222">
            <v>150</v>
          </cell>
        </row>
        <row r="223">
          <cell r="B223" t="str">
            <v>KUTTER gal 4L x 4</v>
          </cell>
          <cell r="C223">
            <v>420</v>
          </cell>
        </row>
        <row r="224">
          <cell r="B224" t="str">
            <v>LIBRA 1000ml x 12</v>
          </cell>
          <cell r="C224">
            <v>121.82</v>
          </cell>
        </row>
        <row r="225">
          <cell r="B225" t="str">
            <v>LIBRA 500ml x 24</v>
          </cell>
          <cell r="C225">
            <v>74</v>
          </cell>
        </row>
        <row r="226">
          <cell r="B226" t="str">
            <v>MALATHION 1000ml x 12</v>
          </cell>
          <cell r="C226">
            <v>170</v>
          </cell>
        </row>
        <row r="227">
          <cell r="B227" t="str">
            <v>MALATHION 100ml x 120</v>
          </cell>
          <cell r="C227">
            <v>23.7</v>
          </cell>
        </row>
        <row r="228">
          <cell r="B228" t="str">
            <v>MALATHION 250ml x 48</v>
          </cell>
          <cell r="C228">
            <v>52.5</v>
          </cell>
        </row>
        <row r="229">
          <cell r="B229" t="str">
            <v>MALATHION 500ml x 24</v>
          </cell>
          <cell r="C229">
            <v>92</v>
          </cell>
        </row>
        <row r="230">
          <cell r="B230" t="str">
            <v>MEGAZINC PLUS 1000ml x 12</v>
          </cell>
          <cell r="C230">
            <v>140</v>
          </cell>
        </row>
        <row r="231">
          <cell r="B231" t="str">
            <v>PACAZEB 1000g x 12</v>
          </cell>
          <cell r="C231">
            <v>225</v>
          </cell>
        </row>
        <row r="232">
          <cell r="B232" t="str">
            <v>PACAZEB 3lbs x 8</v>
          </cell>
          <cell r="C232">
            <v>306.81</v>
          </cell>
        </row>
        <row r="233">
          <cell r="B233" t="str">
            <v>POGUE 1000ml x 12</v>
          </cell>
          <cell r="C233">
            <v>230</v>
          </cell>
        </row>
        <row r="234">
          <cell r="B234" t="str">
            <v>QUADRO 1000g x 10</v>
          </cell>
          <cell r="C234">
            <v>565</v>
          </cell>
        </row>
        <row r="235">
          <cell r="B235" t="str">
            <v>QUADRO 50g x 200</v>
          </cell>
          <cell r="C235">
            <v>29.5</v>
          </cell>
        </row>
        <row r="236">
          <cell r="B236" t="str">
            <v>QUEEN 1000ml x 12</v>
          </cell>
          <cell r="C236">
            <v>529.48</v>
          </cell>
        </row>
        <row r="237">
          <cell r="B237" t="str">
            <v>QUEEN 250ml x 36</v>
          </cell>
          <cell r="C237">
            <v>142.55000000000001</v>
          </cell>
        </row>
        <row r="238">
          <cell r="B238" t="str">
            <v>QUEEN 500ml x 24</v>
          </cell>
          <cell r="C238">
            <v>269.82</v>
          </cell>
        </row>
        <row r="239">
          <cell r="B239" t="str">
            <v>RAZER 250ml x 2 x 24</v>
          </cell>
          <cell r="C239">
            <v>700</v>
          </cell>
        </row>
        <row r="240">
          <cell r="B240" t="str">
            <v>SOLITAIRE 100g x 5 x 12</v>
          </cell>
          <cell r="C240">
            <v>59</v>
          </cell>
        </row>
        <row r="241">
          <cell r="B241" t="str">
            <v>STAMINA 1000ml x 12</v>
          </cell>
          <cell r="C241">
            <v>930</v>
          </cell>
        </row>
        <row r="242">
          <cell r="B242" t="str">
            <v>STAMINA 100ml x 72</v>
          </cell>
          <cell r="C242">
            <v>134.1</v>
          </cell>
        </row>
        <row r="243">
          <cell r="B243" t="str">
            <v>STAMINA 250ml x 36</v>
          </cell>
          <cell r="C243">
            <v>225.75</v>
          </cell>
        </row>
        <row r="244">
          <cell r="B244" t="str">
            <v>STAMINA 500ml x 24</v>
          </cell>
          <cell r="C244">
            <v>488.25</v>
          </cell>
        </row>
        <row r="245">
          <cell r="B245" t="str">
            <v>SUREWIN 100g x 50</v>
          </cell>
          <cell r="C245">
            <v>65</v>
          </cell>
        </row>
        <row r="246">
          <cell r="B246" t="str">
            <v>TRIBAND 500g x 24</v>
          </cell>
          <cell r="C246">
            <v>270</v>
          </cell>
        </row>
        <row r="247">
          <cell r="B247" t="str">
            <v>TRICE 350g</v>
          </cell>
          <cell r="C247">
            <v>343.685</v>
          </cell>
        </row>
        <row r="248">
          <cell r="B248" t="str">
            <v>TRICE 350g x 24</v>
          </cell>
          <cell r="C248">
            <v>343.685</v>
          </cell>
        </row>
        <row r="249">
          <cell r="B249" t="str">
            <v>TRIOPLUS 1000g x 12</v>
          </cell>
          <cell r="C249">
            <v>110</v>
          </cell>
        </row>
        <row r="250">
          <cell r="B250" t="str">
            <v>TRIZEB 1000g x 12</v>
          </cell>
          <cell r="C250">
            <v>225</v>
          </cell>
        </row>
        <row r="251">
          <cell r="B251" t="str">
            <v>TRIZEB 3lbs x 8</v>
          </cell>
          <cell r="C251">
            <v>300</v>
          </cell>
        </row>
        <row r="252">
          <cell r="B252" t="str">
            <v>TRIZEB B x 25</v>
          </cell>
          <cell r="C252">
            <v>180</v>
          </cell>
        </row>
        <row r="253">
          <cell r="B253" t="str">
            <v>ULTIMA 1000ml x 12</v>
          </cell>
          <cell r="C253">
            <v>400</v>
          </cell>
        </row>
        <row r="254">
          <cell r="B254" t="str">
            <v>ULTIMA 500ml x 24</v>
          </cell>
          <cell r="C254">
            <v>207.5</v>
          </cell>
        </row>
      </sheetData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22">
          <cell r="B222" t="str">
            <v>PRODUCT</v>
          </cell>
          <cell r="C222" t="str">
            <v>UP</v>
          </cell>
        </row>
        <row r="223">
          <cell r="B223" t="str">
            <v>2,4-D AMINE drum x 200L</v>
          </cell>
          <cell r="C223">
            <v>16000</v>
          </cell>
        </row>
        <row r="224">
          <cell r="B224" t="str">
            <v>2,4-D ESTER 1000ml x 12</v>
          </cell>
          <cell r="C224">
            <v>190</v>
          </cell>
        </row>
        <row r="225">
          <cell r="B225" t="str">
            <v>2,4-D ESTER 250ml x 36</v>
          </cell>
          <cell r="C225">
            <v>61.5</v>
          </cell>
        </row>
        <row r="226">
          <cell r="B226" t="str">
            <v>2,4-D ESTER 500ml x 24</v>
          </cell>
          <cell r="C226">
            <v>109</v>
          </cell>
        </row>
        <row r="227">
          <cell r="B227" t="str">
            <v>ACE 1000ml x 12</v>
          </cell>
          <cell r="C227">
            <v>300</v>
          </cell>
        </row>
        <row r="228">
          <cell r="B228" t="str">
            <v>ACE 250ml x 36</v>
          </cell>
          <cell r="C228">
            <v>88.5</v>
          </cell>
        </row>
        <row r="229">
          <cell r="B229" t="str">
            <v>ACE 500ml x 24</v>
          </cell>
          <cell r="C229">
            <v>161</v>
          </cell>
        </row>
        <row r="230">
          <cell r="B230" t="str">
            <v>ATRAK-KILL 1000g x 12</v>
          </cell>
          <cell r="C230">
            <v>120</v>
          </cell>
        </row>
        <row r="231">
          <cell r="B231" t="str">
            <v>ATRAZINE 1000g x 12</v>
          </cell>
          <cell r="C231">
            <v>290</v>
          </cell>
        </row>
        <row r="232">
          <cell r="B232" t="str">
            <v>GLYPHOSEL 1000ml x 12</v>
          </cell>
          <cell r="C232">
            <v>169</v>
          </cell>
        </row>
        <row r="233">
          <cell r="B233" t="str">
            <v>GLYPHOSEL gal 3.75L x 6</v>
          </cell>
          <cell r="C233">
            <v>596.25</v>
          </cell>
        </row>
        <row r="234">
          <cell r="B234" t="str">
            <v>HOOK 1000ml x 12</v>
          </cell>
          <cell r="C234">
            <v>225</v>
          </cell>
        </row>
        <row r="235">
          <cell r="B235" t="str">
            <v>JAKPOT 1000ml x 12</v>
          </cell>
          <cell r="C235">
            <v>190</v>
          </cell>
        </row>
        <row r="236">
          <cell r="B236" t="str">
            <v>JAKPOT 100ml x 72</v>
          </cell>
          <cell r="C236">
            <v>35.6</v>
          </cell>
        </row>
        <row r="237">
          <cell r="B237" t="str">
            <v>JAKPOT 250ml x 36</v>
          </cell>
          <cell r="C237">
            <v>73.75</v>
          </cell>
        </row>
        <row r="238">
          <cell r="B238" t="str">
            <v>JAKPOT 500ml x 24</v>
          </cell>
          <cell r="C238">
            <v>110</v>
          </cell>
        </row>
        <row r="239">
          <cell r="B239" t="str">
            <v>KING 1000ml x 12</v>
          </cell>
          <cell r="C239">
            <v>124.62</v>
          </cell>
        </row>
        <row r="240">
          <cell r="B240" t="str">
            <v>KING 100ml x 72</v>
          </cell>
          <cell r="C240">
            <v>22.7</v>
          </cell>
        </row>
        <row r="241">
          <cell r="B241" t="str">
            <v>KING 250ml x 36</v>
          </cell>
          <cell r="C241">
            <v>47</v>
          </cell>
        </row>
        <row r="242">
          <cell r="B242" t="str">
            <v>KING 500ml x 24</v>
          </cell>
          <cell r="C242">
            <v>79.81</v>
          </cell>
        </row>
        <row r="243">
          <cell r="B243" t="str">
            <v>KUTTER 1000ml x 12</v>
          </cell>
          <cell r="C243">
            <v>150</v>
          </cell>
        </row>
        <row r="244">
          <cell r="B244" t="str">
            <v>KUTTER gal 4L x 4</v>
          </cell>
          <cell r="C244">
            <v>420</v>
          </cell>
        </row>
        <row r="245">
          <cell r="B245" t="str">
            <v>LIBRA 1000ml x 12</v>
          </cell>
          <cell r="C245">
            <v>121.82</v>
          </cell>
        </row>
        <row r="246">
          <cell r="B246" t="str">
            <v>LIBRA 500ml x 24</v>
          </cell>
          <cell r="C246">
            <v>74</v>
          </cell>
        </row>
        <row r="247">
          <cell r="B247" t="str">
            <v>MALATHION 1000ml x 12</v>
          </cell>
          <cell r="C247">
            <v>170</v>
          </cell>
        </row>
        <row r="248">
          <cell r="B248" t="str">
            <v>MALATHION 100ml x 120</v>
          </cell>
          <cell r="C248">
            <v>23.7</v>
          </cell>
        </row>
        <row r="249">
          <cell r="B249" t="str">
            <v>MALATHION 250ml x 48</v>
          </cell>
          <cell r="C249">
            <v>52.5</v>
          </cell>
        </row>
        <row r="250">
          <cell r="B250" t="str">
            <v>MALATHION 500ml x 24</v>
          </cell>
          <cell r="C250">
            <v>92</v>
          </cell>
        </row>
        <row r="251">
          <cell r="B251" t="str">
            <v>MEGAZINC PLUS 1000ml x 12</v>
          </cell>
          <cell r="C251">
            <v>89</v>
          </cell>
        </row>
        <row r="252">
          <cell r="B252" t="str">
            <v>PACAZEB 1000g x 12</v>
          </cell>
          <cell r="C252">
            <v>225</v>
          </cell>
        </row>
        <row r="253">
          <cell r="B253" t="str">
            <v>PACAZEB 3lbs x 8</v>
          </cell>
          <cell r="C253">
            <v>306.81</v>
          </cell>
        </row>
        <row r="254">
          <cell r="B254" t="str">
            <v>POGUE 1000ml x 12</v>
          </cell>
          <cell r="C254">
            <v>230</v>
          </cell>
        </row>
        <row r="255">
          <cell r="B255" t="str">
            <v>QUADRO 1000g x 10</v>
          </cell>
          <cell r="C255">
            <v>565</v>
          </cell>
        </row>
        <row r="256">
          <cell r="B256" t="str">
            <v>QUADRO 50g x 200</v>
          </cell>
          <cell r="C256">
            <v>29.5</v>
          </cell>
        </row>
        <row r="257">
          <cell r="B257" t="str">
            <v>QUEEN 1000ml x 12</v>
          </cell>
          <cell r="C257">
            <v>529.48</v>
          </cell>
        </row>
        <row r="258">
          <cell r="B258" t="str">
            <v>QUEEN 250ml x 36</v>
          </cell>
          <cell r="C258">
            <v>142.55000000000001</v>
          </cell>
        </row>
        <row r="259">
          <cell r="B259" t="str">
            <v>QUEEN 500ml x 24</v>
          </cell>
          <cell r="C259">
            <v>269.82</v>
          </cell>
        </row>
        <row r="260">
          <cell r="B260" t="str">
            <v>RAZER 250ml x 2 x 24</v>
          </cell>
          <cell r="C260">
            <v>640</v>
          </cell>
        </row>
        <row r="261">
          <cell r="B261" t="str">
            <v>SOLITAIRE 100g x 5 x 12</v>
          </cell>
          <cell r="C261">
            <v>59</v>
          </cell>
        </row>
        <row r="262">
          <cell r="B262" t="str">
            <v>STAMINA 1000ml x 12</v>
          </cell>
          <cell r="C262">
            <v>930</v>
          </cell>
        </row>
        <row r="263">
          <cell r="B263" t="str">
            <v>STAMINA 100ml x 72</v>
          </cell>
          <cell r="C263">
            <v>134.1</v>
          </cell>
        </row>
        <row r="264">
          <cell r="B264" t="str">
            <v>STAMINA 250ml x 36</v>
          </cell>
          <cell r="C264">
            <v>225.75</v>
          </cell>
        </row>
        <row r="265">
          <cell r="B265" t="str">
            <v>STAMINA 500ml x 24</v>
          </cell>
          <cell r="C265">
            <v>488.25</v>
          </cell>
        </row>
        <row r="266">
          <cell r="B266" t="str">
            <v>SUREWIN 100g x 50</v>
          </cell>
          <cell r="C266">
            <v>65</v>
          </cell>
        </row>
        <row r="267">
          <cell r="B267" t="str">
            <v>TRIBAND 500g x 24</v>
          </cell>
          <cell r="C267">
            <v>270</v>
          </cell>
        </row>
        <row r="268">
          <cell r="B268" t="str">
            <v>TRICE 350g</v>
          </cell>
          <cell r="C268">
            <v>293.685</v>
          </cell>
        </row>
        <row r="269">
          <cell r="B269" t="str">
            <v>TRICE 350g x 24</v>
          </cell>
          <cell r="C269">
            <v>293.685</v>
          </cell>
        </row>
        <row r="270">
          <cell r="B270" t="str">
            <v>TRIOPLUS 1000g x 12</v>
          </cell>
          <cell r="C270">
            <v>110</v>
          </cell>
        </row>
        <row r="271">
          <cell r="B271" t="str">
            <v>TRIZEB 1000g x 12</v>
          </cell>
          <cell r="C271">
            <v>225</v>
          </cell>
        </row>
        <row r="272">
          <cell r="B272" t="str">
            <v>TRIZEB 3lbs x 8</v>
          </cell>
          <cell r="C272">
            <v>300</v>
          </cell>
        </row>
        <row r="273">
          <cell r="B273" t="str">
            <v>TRIZEB B x 25</v>
          </cell>
          <cell r="C273">
            <v>180</v>
          </cell>
        </row>
        <row r="274">
          <cell r="B274" t="str">
            <v>ULTIMA 1000ml x 12</v>
          </cell>
          <cell r="C274">
            <v>400</v>
          </cell>
        </row>
      </sheetData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2018 P"/>
      <sheetName val="SEPTEMBER 2018"/>
      <sheetName val="AUGUST 2018 P"/>
      <sheetName val="AUGUST 2018"/>
      <sheetName val="JULY 2018 (2)"/>
      <sheetName val="JULY 2018 3"/>
      <sheetName val="JULY 2018"/>
      <sheetName val="PROD4"/>
      <sheetName val="JUNE 2018 (2)"/>
      <sheetName val="JUNE 2018"/>
      <sheetName val="PROD3"/>
      <sheetName val="MAY 2018 (2)"/>
      <sheetName val="MAY 2018"/>
      <sheetName val="APRIL 2018 (2)"/>
      <sheetName val="APRIL 2018 (3)"/>
      <sheetName val="APRIL 2018"/>
      <sheetName val="MARCH 2018 (2)"/>
      <sheetName val="MARCH 2018"/>
      <sheetName val="PROD2"/>
      <sheetName val="FEB 2018 (2)"/>
      <sheetName val="FEB 2018"/>
      <sheetName val="JAN 2018 (2)"/>
      <sheetName val="JAN 2018"/>
      <sheetName val="DECEMBER 2017 (2)"/>
      <sheetName val="DECEMBER 2017"/>
      <sheetName val="NOVEMBER 2017 (3)"/>
      <sheetName val="NOVEMBER 2017"/>
      <sheetName val="OCTOBER 2017 (2)"/>
      <sheetName val="OCTOBER 2017"/>
      <sheetName val="SEPTEMBER 2017 P"/>
      <sheetName val="SEPTEMBER 2017"/>
      <sheetName val="AUGUST 2017 P"/>
      <sheetName val="AUGUST 2017"/>
      <sheetName val="JULY 2017 (2)"/>
      <sheetName val="JULY 2017"/>
      <sheetName val="PRO"/>
      <sheetName val="JUNE 2017 (2)"/>
      <sheetName val="JUNE 2017"/>
      <sheetName val="MAY 2017 P"/>
      <sheetName val="MAY 2017"/>
      <sheetName val="APR 2017 (2)"/>
      <sheetName val="APR 2017"/>
      <sheetName val="MAR 2017 (2)"/>
      <sheetName val="MAR 2017"/>
      <sheetName val="FEB 2017 P"/>
      <sheetName val="FEB 2017"/>
      <sheetName val="JAN 2017 P"/>
      <sheetName val="JAN 2017"/>
      <sheetName val="DEC 2016 (2)"/>
      <sheetName val="DEC 2016"/>
      <sheetName val="NOV 2016 C"/>
      <sheetName val="NOV 2016 P"/>
      <sheetName val="NOV 2016"/>
      <sheetName val="OCT 2016 P C"/>
      <sheetName val="OCT 2016 P"/>
      <sheetName val="OCT 2016"/>
      <sheetName val="SEP 2016 (2)"/>
      <sheetName val="SEP 2016"/>
      <sheetName val="AUG 2016 (2)"/>
      <sheetName val="AUG 2016"/>
      <sheetName val="JULY 2016 (3)"/>
      <sheetName val="JULY 2016"/>
      <sheetName val="JUNE 2016 (P)"/>
      <sheetName val="JUNE 2016"/>
      <sheetName val="MAY 2016 P"/>
      <sheetName val="MAY 2016"/>
      <sheetName val="APR 2016 (P)"/>
      <sheetName val="APR 2016"/>
      <sheetName val="MAR 2016 P"/>
      <sheetName val="MAR 2016"/>
      <sheetName val="FEB 2016 P"/>
      <sheetName val="FEB 2016"/>
      <sheetName val="JAN 2016 P"/>
      <sheetName val="JAN 2016"/>
      <sheetName val="MAR 2015 P"/>
      <sheetName val="DEC 2015 P"/>
      <sheetName val="DEC 2015 PO"/>
      <sheetName val="DEC 2015"/>
      <sheetName val="NOV 2015 P"/>
      <sheetName val="NOV 2015"/>
      <sheetName val="OCT 2015 P"/>
      <sheetName val="OCT 2015"/>
      <sheetName val="SEP 2015 P"/>
      <sheetName val="SEP 2015"/>
      <sheetName val="AUG 2015 P"/>
      <sheetName val="AUG 2015"/>
      <sheetName val="JULY 2015 P"/>
      <sheetName val="JULY 2015"/>
      <sheetName val="JUN 2015 P"/>
      <sheetName val="JUN 2015"/>
      <sheetName val="MAY 2015 P"/>
      <sheetName val="MAY 2015"/>
      <sheetName val="APRIL 2015 P"/>
      <sheetName val="APRIL 2015"/>
      <sheetName val="MAR 2015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B5" t="str">
            <v>PRODUCT</v>
          </cell>
          <cell r="C5" t="str">
            <v>UP</v>
          </cell>
        </row>
        <row r="6">
          <cell r="B6" t="str">
            <v>2,4-D AMINE drum x 200L</v>
          </cell>
          <cell r="C6">
            <v>23000</v>
          </cell>
        </row>
        <row r="7">
          <cell r="B7" t="str">
            <v>2,4-D AMINE 1000ml x 12</v>
          </cell>
          <cell r="C7">
            <v>135</v>
          </cell>
        </row>
        <row r="8">
          <cell r="B8" t="str">
            <v>2,4-D AMINE 1gal x 6</v>
          </cell>
          <cell r="C8">
            <v>555</v>
          </cell>
        </row>
        <row r="9">
          <cell r="B9" t="str">
            <v>2,4-D AMINE 250ml x 48</v>
          </cell>
          <cell r="C9">
            <v>47.25</v>
          </cell>
        </row>
        <row r="10">
          <cell r="B10" t="str">
            <v>2,4-D AMINE 500ml x 24</v>
          </cell>
          <cell r="C10">
            <v>76.5</v>
          </cell>
        </row>
        <row r="11">
          <cell r="B11" t="str">
            <v>2,4-D AMINE gal 3.75L x 6</v>
          </cell>
          <cell r="C11">
            <v>555</v>
          </cell>
        </row>
        <row r="12">
          <cell r="B12" t="str">
            <v>2,4-D ESTER 1000ml x 12</v>
          </cell>
          <cell r="C12">
            <v>215</v>
          </cell>
        </row>
        <row r="13">
          <cell r="B13" t="str">
            <v>2,4-D ESTER 250ml x 36</v>
          </cell>
          <cell r="C13">
            <v>62</v>
          </cell>
        </row>
        <row r="14">
          <cell r="B14" t="str">
            <v>2,4-D ESTER 250ml x 48</v>
          </cell>
          <cell r="C14">
            <v>62</v>
          </cell>
        </row>
        <row r="15">
          <cell r="B15" t="str">
            <v>2,4-D ESTER 500ml x 24</v>
          </cell>
          <cell r="C15">
            <v>109</v>
          </cell>
        </row>
        <row r="16">
          <cell r="B16" t="str">
            <v>ACE 1000ml x 12</v>
          </cell>
          <cell r="C16">
            <v>345</v>
          </cell>
        </row>
        <row r="17">
          <cell r="B17" t="str">
            <v>ACE 250ml x 36</v>
          </cell>
          <cell r="C17">
            <v>93.5</v>
          </cell>
        </row>
        <row r="18">
          <cell r="B18" t="str">
            <v>ACE 500ml x 24</v>
          </cell>
          <cell r="C18">
            <v>165</v>
          </cell>
        </row>
        <row r="19">
          <cell r="B19" t="str">
            <v>ATRAK-KILL 1000g x 12</v>
          </cell>
          <cell r="C19">
            <v>120</v>
          </cell>
        </row>
        <row r="20">
          <cell r="B20" t="str">
            <v>ATRAZINE 1000g x 12</v>
          </cell>
          <cell r="C20">
            <v>315</v>
          </cell>
        </row>
        <row r="21">
          <cell r="B21" t="str">
            <v>DIURON 1000g x 12</v>
          </cell>
          <cell r="C21">
            <v>450</v>
          </cell>
        </row>
        <row r="22">
          <cell r="B22" t="str">
            <v>DRAW 1000ml x 12</v>
          </cell>
          <cell r="C22">
            <v>268.5</v>
          </cell>
        </row>
        <row r="23">
          <cell r="B23" t="str">
            <v>DRAW 1000ml x 12</v>
          </cell>
          <cell r="C23">
            <v>268.5</v>
          </cell>
        </row>
        <row r="24">
          <cell r="B24" t="str">
            <v>GLYPHOSEL 1000ml x 12</v>
          </cell>
          <cell r="C24">
            <v>185</v>
          </cell>
        </row>
        <row r="25">
          <cell r="B25" t="str">
            <v>GLYPHOSEL gal 3.75L x 6</v>
          </cell>
          <cell r="C25">
            <v>656.25</v>
          </cell>
        </row>
        <row r="26">
          <cell r="B26" t="str">
            <v>HOOK 1000ml x 12</v>
          </cell>
          <cell r="C26">
            <v>280</v>
          </cell>
        </row>
        <row r="27">
          <cell r="B27" t="str">
            <v>JAKPOT 1000ml x 12</v>
          </cell>
          <cell r="C27">
            <v>198</v>
          </cell>
        </row>
        <row r="28">
          <cell r="B28" t="str">
            <v>JAKPOT 100ml x 120</v>
          </cell>
          <cell r="C28">
            <v>27.3</v>
          </cell>
        </row>
        <row r="29">
          <cell r="B29" t="str">
            <v>JAKPOT 100ml x 72</v>
          </cell>
          <cell r="C29">
            <v>35.6</v>
          </cell>
        </row>
        <row r="30">
          <cell r="B30" t="str">
            <v>JAKPOT 250ml x 36</v>
          </cell>
          <cell r="C30">
            <v>73.75</v>
          </cell>
        </row>
        <row r="31">
          <cell r="B31" t="str">
            <v>JAKPOT 250ml x 48</v>
          </cell>
          <cell r="C31">
            <v>59.5</v>
          </cell>
        </row>
        <row r="32">
          <cell r="B32" t="str">
            <v>JAKPOT 500ml x 24</v>
          </cell>
          <cell r="C32">
            <v>110</v>
          </cell>
        </row>
        <row r="33">
          <cell r="B33" t="str">
            <v>KING 1000ml x 12</v>
          </cell>
          <cell r="C33">
            <v>150</v>
          </cell>
        </row>
        <row r="34">
          <cell r="B34" t="str">
            <v>KING 100ml x 72</v>
          </cell>
          <cell r="C34">
            <v>22.7</v>
          </cell>
        </row>
        <row r="35">
          <cell r="B35" t="str">
            <v>KING 250ml x 36</v>
          </cell>
          <cell r="C35">
            <v>47</v>
          </cell>
        </row>
        <row r="36">
          <cell r="B36" t="str">
            <v>KING 500ml x 24</v>
          </cell>
          <cell r="C36">
            <v>79.81</v>
          </cell>
        </row>
        <row r="37">
          <cell r="B37" t="str">
            <v>KUTTER 1000ml x 12</v>
          </cell>
          <cell r="C37">
            <v>120</v>
          </cell>
        </row>
        <row r="38">
          <cell r="B38" t="str">
            <v>KUTTER 4L x 4</v>
          </cell>
          <cell r="C38">
            <v>420</v>
          </cell>
        </row>
        <row r="39">
          <cell r="B39" t="str">
            <v>LIBRA 1000ml x 12</v>
          </cell>
          <cell r="C39">
            <v>150</v>
          </cell>
        </row>
        <row r="40">
          <cell r="B40" t="str">
            <v>LIBRA 500ml x 24</v>
          </cell>
          <cell r="C40">
            <v>79.81</v>
          </cell>
        </row>
        <row r="41">
          <cell r="B41" t="str">
            <v>MALATHION 1000ml x 12</v>
          </cell>
          <cell r="C41">
            <v>230</v>
          </cell>
        </row>
        <row r="42">
          <cell r="B42" t="str">
            <v>MALATHION 100ml x 120</v>
          </cell>
          <cell r="C42">
            <v>23.7</v>
          </cell>
        </row>
        <row r="43">
          <cell r="B43" t="str">
            <v>MALATHION 250ml x 48</v>
          </cell>
          <cell r="C43">
            <v>52.5</v>
          </cell>
        </row>
        <row r="44">
          <cell r="B44" t="str">
            <v>MALATHION 500ml x 24</v>
          </cell>
          <cell r="C44">
            <v>92</v>
          </cell>
        </row>
        <row r="45">
          <cell r="B45" t="str">
            <v>MEGAZINC PLUS 1000ml x 12</v>
          </cell>
          <cell r="C45">
            <v>140</v>
          </cell>
        </row>
        <row r="46">
          <cell r="B46" t="str">
            <v>PACAZEB 1000g x 12</v>
          </cell>
          <cell r="C46">
            <v>273</v>
          </cell>
        </row>
        <row r="47">
          <cell r="B47" t="str">
            <v>PACAZEB 3lbs x 8</v>
          </cell>
          <cell r="C47">
            <v>364.48</v>
          </cell>
        </row>
        <row r="48">
          <cell r="B48" t="str">
            <v>QUADRO 1000g x 10</v>
          </cell>
          <cell r="C48">
            <v>575</v>
          </cell>
        </row>
        <row r="49">
          <cell r="B49" t="str">
            <v>QUADRO 50g x 200</v>
          </cell>
          <cell r="C49">
            <v>32.25</v>
          </cell>
        </row>
        <row r="50">
          <cell r="B50" t="str">
            <v>QUEEN 1000ml x 12</v>
          </cell>
          <cell r="C50">
            <v>600</v>
          </cell>
        </row>
        <row r="51">
          <cell r="B51" t="str">
            <v>QUEEN 250ml x 36</v>
          </cell>
          <cell r="C51">
            <v>163.5</v>
          </cell>
        </row>
        <row r="52">
          <cell r="B52" t="str">
            <v>QUEEN 250ml x 48</v>
          </cell>
          <cell r="C52">
            <v>130</v>
          </cell>
        </row>
        <row r="53">
          <cell r="B53" t="str">
            <v>QUEEN 500ml x 24</v>
          </cell>
          <cell r="C53">
            <v>309</v>
          </cell>
        </row>
        <row r="54">
          <cell r="B54" t="str">
            <v>RAZER 100ml x 2 x 36</v>
          </cell>
          <cell r="C54">
            <v>244</v>
          </cell>
        </row>
        <row r="55">
          <cell r="B55" t="str">
            <v>RAZER 250ml x 2 x 24</v>
          </cell>
          <cell r="C55">
            <v>700</v>
          </cell>
        </row>
        <row r="56">
          <cell r="B56" t="str">
            <v>SOLITAIRE 100g x 5 x 12</v>
          </cell>
          <cell r="C56">
            <v>68.5</v>
          </cell>
        </row>
        <row r="57">
          <cell r="B57" t="str">
            <v>STAMINA 1000ml x 12</v>
          </cell>
          <cell r="C57">
            <v>930</v>
          </cell>
        </row>
        <row r="58">
          <cell r="B58" t="str">
            <v>STAMINA 100ml x 72</v>
          </cell>
          <cell r="C58">
            <v>134.1</v>
          </cell>
        </row>
        <row r="59">
          <cell r="B59" t="str">
            <v>STAMINA 250ml x 36</v>
          </cell>
          <cell r="C59">
            <v>225.75</v>
          </cell>
        </row>
        <row r="60">
          <cell r="B60" t="str">
            <v>STAMINA 500ml x 24</v>
          </cell>
          <cell r="C60">
            <v>488.25</v>
          </cell>
        </row>
        <row r="61">
          <cell r="B61" t="str">
            <v>SUREWIN 100g x 50</v>
          </cell>
          <cell r="C61">
            <v>65</v>
          </cell>
        </row>
        <row r="62">
          <cell r="B62" t="str">
            <v>TRIBAND 500g x 24</v>
          </cell>
          <cell r="C62">
            <v>305</v>
          </cell>
        </row>
        <row r="63">
          <cell r="B63" t="str">
            <v>TRICE 350g</v>
          </cell>
          <cell r="C63">
            <v>381.5</v>
          </cell>
        </row>
        <row r="64">
          <cell r="B64" t="str">
            <v>TRICE 350g x 24</v>
          </cell>
          <cell r="C64">
            <v>381.5</v>
          </cell>
        </row>
        <row r="65">
          <cell r="B65" t="str">
            <v>TRIOPLUS 1000g x 12</v>
          </cell>
          <cell r="C65">
            <v>110</v>
          </cell>
        </row>
        <row r="66">
          <cell r="B66" t="str">
            <v>TRIZEB 1000g x 12</v>
          </cell>
          <cell r="C66">
            <v>258</v>
          </cell>
        </row>
        <row r="67">
          <cell r="B67" t="str">
            <v>TRIZEB 3lbs x 8</v>
          </cell>
          <cell r="C67">
            <v>344.08</v>
          </cell>
        </row>
        <row r="68">
          <cell r="B68" t="str">
            <v>TRIZEB B x 25</v>
          </cell>
          <cell r="C68">
            <v>230</v>
          </cell>
        </row>
        <row r="69">
          <cell r="B69" t="str">
            <v>ULTIMATE 1000ml x 12</v>
          </cell>
          <cell r="C69">
            <v>475</v>
          </cell>
        </row>
        <row r="70">
          <cell r="B70" t="str">
            <v>ULTIMA 1000ml x 12</v>
          </cell>
          <cell r="C70">
            <v>475</v>
          </cell>
        </row>
        <row r="71">
          <cell r="B71" t="str">
            <v>ULTIMA 500ml x 24</v>
          </cell>
          <cell r="C71">
            <v>207.5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2018"/>
      <sheetName val="OCTOBER 2018 (4)"/>
      <sheetName val="OCTOBER 2018 P"/>
      <sheetName val="OCTOBER 2018 (3)"/>
      <sheetName val="OCTOBER 2018 (2)"/>
      <sheetName val="OCTOBER 2018 FINAL"/>
      <sheetName val="SEPTEMBER 2018 P"/>
      <sheetName val="SEPTEMBER 2018"/>
      <sheetName val="AUGUST 2018 P"/>
      <sheetName val="AUGUST 2018"/>
      <sheetName val="PROD6"/>
      <sheetName val="JULY 2018 (2)"/>
      <sheetName val="JULY 2018 3"/>
      <sheetName val="JULY 2018"/>
      <sheetName val="PROD4"/>
      <sheetName val="JUNE 2018 (2)"/>
      <sheetName val="JUNE 2018"/>
      <sheetName val="PROD3"/>
      <sheetName val="MAY 2018 (2)"/>
      <sheetName val="MAY 2018"/>
      <sheetName val="APRIL 2018 (2)"/>
      <sheetName val="APRIL 2018 (3)"/>
      <sheetName val="APRIL 2018"/>
      <sheetName val="MARCH 2018 (2)"/>
      <sheetName val="MARCH 2018"/>
      <sheetName val="PROD2"/>
      <sheetName val="FEB 2018 (2)"/>
      <sheetName val="FEB 2018"/>
      <sheetName val="JAN 2018 (2)"/>
      <sheetName val="JAN 2018"/>
      <sheetName val="DECEMBER 2017 (2)"/>
      <sheetName val="DECEMBER 2017"/>
      <sheetName val="NOVEMBER 2017 (3)"/>
      <sheetName val="NOVEMBER 2017"/>
      <sheetName val="OCTOBER 2017 (2)"/>
      <sheetName val="OCTOBER 2017"/>
      <sheetName val="SEPTEMBER 2017 P"/>
      <sheetName val="SEPTEMBER 2017"/>
      <sheetName val="AUGUST 2017 P"/>
      <sheetName val="AUGUST 2017"/>
      <sheetName val="JULY 2017 (2)"/>
      <sheetName val="JULY 2017"/>
      <sheetName val="PRO"/>
      <sheetName val="JUNE 2017 (2)"/>
      <sheetName val="JUNE 2017"/>
      <sheetName val="MAY 2017 P"/>
      <sheetName val="MAY 2017"/>
      <sheetName val="APR 2017 (2)"/>
      <sheetName val="APR 2017"/>
      <sheetName val="MAR 2017 (2)"/>
      <sheetName val="MAR 2017"/>
      <sheetName val="FEB 2017 P"/>
      <sheetName val="FEB 2017"/>
      <sheetName val="JAN 2017 P"/>
      <sheetName val="JAN 2017"/>
      <sheetName val="DEC 2016 (2)"/>
      <sheetName val="DEC 2016"/>
      <sheetName val="NOV 2016 C"/>
      <sheetName val="NOV 2016 P"/>
      <sheetName val="NOV 2016"/>
      <sheetName val="OCT 2016 P C"/>
      <sheetName val="OCT 2016 P"/>
      <sheetName val="OCT 2016"/>
      <sheetName val="SEP 2016 (2)"/>
      <sheetName val="SEP 2016"/>
      <sheetName val="AUG 2016 (2)"/>
      <sheetName val="AUG 2016"/>
      <sheetName val="JULY 2016 (3)"/>
      <sheetName val="JULY 2016"/>
      <sheetName val="JUNE 2016 (P)"/>
      <sheetName val="JUNE 2016"/>
      <sheetName val="MAY 2016 P"/>
      <sheetName val="MAY 2016"/>
      <sheetName val="APR 2016 (P)"/>
      <sheetName val="APR 2016"/>
      <sheetName val="MAR 2016 P"/>
      <sheetName val="MAR 2016"/>
      <sheetName val="FEB 2016 P"/>
      <sheetName val="FEB 2016"/>
      <sheetName val="JAN 2016 P"/>
      <sheetName val="JAN 2016"/>
      <sheetName val="MAR 2015 P"/>
      <sheetName val="DEC 2015 P"/>
      <sheetName val="DEC 2015 PO"/>
      <sheetName val="DEC 2015"/>
      <sheetName val="NOV 2015 P"/>
      <sheetName val="NOV 2015"/>
      <sheetName val="OCT 2015 P"/>
      <sheetName val="OCT 2015"/>
      <sheetName val="SEP 2015 P"/>
      <sheetName val="SEP 2015"/>
      <sheetName val="AUG 2015 P"/>
      <sheetName val="AUG 2015"/>
      <sheetName val="JULY 2015 P"/>
      <sheetName val="JULY 2015"/>
      <sheetName val="JUN 2015 P"/>
      <sheetName val="JUN 2015"/>
      <sheetName val="MAY 2015 P"/>
      <sheetName val="MAY 2015"/>
      <sheetName val="APRIL 2015 P"/>
      <sheetName val="APRIL 2015"/>
      <sheetName val="MAR 2015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>
        <row r="222">
          <cell r="B222" t="str">
            <v>PRODUCT</v>
          </cell>
          <cell r="C222" t="str">
            <v>UP</v>
          </cell>
        </row>
        <row r="223">
          <cell r="B223" t="str">
            <v>2,4-D AMINE drum x 200L</v>
          </cell>
          <cell r="C223">
            <v>16000</v>
          </cell>
        </row>
        <row r="224">
          <cell r="B224" t="str">
            <v>2,4-D ESTER 1000ml x 12</v>
          </cell>
          <cell r="C224">
            <v>190</v>
          </cell>
        </row>
        <row r="225">
          <cell r="B225" t="str">
            <v>2,4-D ESTER 250ml x 36</v>
          </cell>
          <cell r="C225">
            <v>61.5</v>
          </cell>
        </row>
        <row r="226">
          <cell r="B226" t="str">
            <v>2,4-D ESTER 500ml x 24</v>
          </cell>
          <cell r="C226">
            <v>109</v>
          </cell>
        </row>
        <row r="227">
          <cell r="B227" t="str">
            <v>ACE 1000ml x 12</v>
          </cell>
          <cell r="C227">
            <v>300</v>
          </cell>
        </row>
        <row r="228">
          <cell r="B228" t="str">
            <v>ACE 250ml x 36</v>
          </cell>
          <cell r="C228">
            <v>88.5</v>
          </cell>
        </row>
        <row r="229">
          <cell r="B229" t="str">
            <v>ACE 500ml x 24</v>
          </cell>
          <cell r="C229">
            <v>161</v>
          </cell>
        </row>
        <row r="230">
          <cell r="B230" t="str">
            <v>ATRAK-KILL 1000g x 12</v>
          </cell>
          <cell r="C230">
            <v>120</v>
          </cell>
        </row>
        <row r="231">
          <cell r="B231" t="str">
            <v>ATRAZINE 1000g x 12</v>
          </cell>
          <cell r="C231">
            <v>290</v>
          </cell>
        </row>
        <row r="232">
          <cell r="B232" t="str">
            <v>GLYPHOSEL 1000ml x 12</v>
          </cell>
          <cell r="C232">
            <v>169</v>
          </cell>
        </row>
        <row r="233">
          <cell r="B233" t="str">
            <v>GLYPHOSEL gal 3.75L x 6</v>
          </cell>
          <cell r="C233">
            <v>596.25</v>
          </cell>
        </row>
        <row r="234">
          <cell r="B234" t="str">
            <v>HOOK 1000ml x 12</v>
          </cell>
          <cell r="C234">
            <v>225</v>
          </cell>
        </row>
        <row r="235">
          <cell r="B235" t="str">
            <v>JAKPOT 1000ml x 12</v>
          </cell>
          <cell r="C235">
            <v>190</v>
          </cell>
        </row>
        <row r="236">
          <cell r="B236" t="str">
            <v>JAKPOT 100ml x 72</v>
          </cell>
          <cell r="C236">
            <v>35.6</v>
          </cell>
        </row>
        <row r="237">
          <cell r="B237" t="str">
            <v>JAKPOT 250ml x 36</v>
          </cell>
          <cell r="C237">
            <v>73.75</v>
          </cell>
        </row>
        <row r="238">
          <cell r="B238" t="str">
            <v>JAKPOT 500ml x 24</v>
          </cell>
          <cell r="C238">
            <v>110</v>
          </cell>
        </row>
        <row r="239">
          <cell r="B239" t="str">
            <v>KING 1000ml x 12</v>
          </cell>
          <cell r="C239">
            <v>124.62</v>
          </cell>
        </row>
        <row r="240">
          <cell r="B240" t="str">
            <v>KING 100ml x 72</v>
          </cell>
          <cell r="C240">
            <v>22.7</v>
          </cell>
        </row>
        <row r="241">
          <cell r="B241" t="str">
            <v>KING 250ml x 36</v>
          </cell>
          <cell r="C241">
            <v>47</v>
          </cell>
        </row>
        <row r="242">
          <cell r="B242" t="str">
            <v>KING 500ml x 24</v>
          </cell>
          <cell r="C242">
            <v>79.81</v>
          </cell>
        </row>
        <row r="243">
          <cell r="B243" t="str">
            <v>KUTTER 1000ml x 12</v>
          </cell>
          <cell r="C243">
            <v>150</v>
          </cell>
        </row>
        <row r="244">
          <cell r="B244" t="str">
            <v>KUTTER gal 4L x 4</v>
          </cell>
          <cell r="C244">
            <v>420</v>
          </cell>
        </row>
        <row r="245">
          <cell r="B245" t="str">
            <v>LIBRA 1000ml x 12</v>
          </cell>
          <cell r="C245">
            <v>121.82</v>
          </cell>
        </row>
        <row r="246">
          <cell r="B246" t="str">
            <v>LIBRA 500ml x 24</v>
          </cell>
          <cell r="C246">
            <v>74</v>
          </cell>
        </row>
        <row r="247">
          <cell r="B247" t="str">
            <v>MALATHION 1000ml x 12</v>
          </cell>
          <cell r="C247">
            <v>170</v>
          </cell>
        </row>
        <row r="248">
          <cell r="B248" t="str">
            <v>MALATHION 100ml x 120</v>
          </cell>
          <cell r="C248">
            <v>23.7</v>
          </cell>
        </row>
        <row r="249">
          <cell r="B249" t="str">
            <v>MALATHION 250ml x 48</v>
          </cell>
          <cell r="C249">
            <v>52.5</v>
          </cell>
        </row>
        <row r="250">
          <cell r="B250" t="str">
            <v>MALATHION 500ml x 24</v>
          </cell>
          <cell r="C250">
            <v>92</v>
          </cell>
        </row>
        <row r="251">
          <cell r="B251" t="str">
            <v>MEGAZINC PLUS 1000ml x 12</v>
          </cell>
          <cell r="C251">
            <v>89</v>
          </cell>
        </row>
        <row r="252">
          <cell r="B252" t="str">
            <v>PACAZEB 1000g x 12</v>
          </cell>
          <cell r="C252">
            <v>225</v>
          </cell>
        </row>
        <row r="253">
          <cell r="B253" t="str">
            <v>PACAZEB 3lbs x 8</v>
          </cell>
          <cell r="C253">
            <v>306.81</v>
          </cell>
        </row>
        <row r="254">
          <cell r="B254" t="str">
            <v>POGUE 1000ml x 12</v>
          </cell>
          <cell r="C254">
            <v>230</v>
          </cell>
        </row>
        <row r="255">
          <cell r="B255" t="str">
            <v>QUADRO 1000g x 10</v>
          </cell>
          <cell r="C255">
            <v>565</v>
          </cell>
        </row>
        <row r="256">
          <cell r="B256" t="str">
            <v>QUADRO 50g x 200</v>
          </cell>
          <cell r="C256">
            <v>29.5</v>
          </cell>
        </row>
        <row r="257">
          <cell r="B257" t="str">
            <v>QUEEN 1000ml x 12</v>
          </cell>
          <cell r="C257">
            <v>529.48</v>
          </cell>
        </row>
        <row r="258">
          <cell r="B258" t="str">
            <v>QUEEN 250ml x 36</v>
          </cell>
          <cell r="C258">
            <v>142.55000000000001</v>
          </cell>
        </row>
        <row r="259">
          <cell r="B259" t="str">
            <v>QUEEN 500ml x 24</v>
          </cell>
          <cell r="C259">
            <v>269.82</v>
          </cell>
        </row>
        <row r="260">
          <cell r="B260" t="str">
            <v>RAZER 250ml x 2 x 24</v>
          </cell>
          <cell r="C260">
            <v>640</v>
          </cell>
        </row>
        <row r="261">
          <cell r="B261" t="str">
            <v>SOLITAIRE 100g x 5 x 12</v>
          </cell>
          <cell r="C261">
            <v>59</v>
          </cell>
        </row>
        <row r="262">
          <cell r="B262" t="str">
            <v>STAMINA 1000ml x 12</v>
          </cell>
          <cell r="C262">
            <v>930</v>
          </cell>
        </row>
        <row r="263">
          <cell r="B263" t="str">
            <v>STAMINA 100ml x 72</v>
          </cell>
          <cell r="C263">
            <v>134.1</v>
          </cell>
        </row>
        <row r="264">
          <cell r="B264" t="str">
            <v>STAMINA 250ml x 36</v>
          </cell>
          <cell r="C264">
            <v>225.75</v>
          </cell>
        </row>
        <row r="265">
          <cell r="B265" t="str">
            <v>STAMINA 500ml x 24</v>
          </cell>
          <cell r="C265">
            <v>488.25</v>
          </cell>
        </row>
        <row r="266">
          <cell r="B266" t="str">
            <v>SUREWIN 100g x 50</v>
          </cell>
          <cell r="C266">
            <v>65</v>
          </cell>
        </row>
        <row r="267">
          <cell r="B267" t="str">
            <v>TRIBAND 500g x 24</v>
          </cell>
          <cell r="C267">
            <v>270</v>
          </cell>
        </row>
        <row r="268">
          <cell r="B268" t="str">
            <v>TRICE 350g</v>
          </cell>
          <cell r="C268">
            <v>293.685</v>
          </cell>
        </row>
        <row r="269">
          <cell r="B269" t="str">
            <v>TRICE 350g x 24</v>
          </cell>
          <cell r="C269">
            <v>293.685</v>
          </cell>
        </row>
        <row r="270">
          <cell r="B270" t="str">
            <v>TRIOPLUS 1000g x 12</v>
          </cell>
          <cell r="C270">
            <v>110</v>
          </cell>
        </row>
        <row r="271">
          <cell r="B271" t="str">
            <v>TRIZEB 1000g x 12</v>
          </cell>
          <cell r="C271">
            <v>225</v>
          </cell>
        </row>
        <row r="272">
          <cell r="B272" t="str">
            <v>TRIZEB 3lbs x 8</v>
          </cell>
          <cell r="C272">
            <v>300</v>
          </cell>
        </row>
        <row r="273">
          <cell r="B273" t="str">
            <v>TRIZEB B x 25</v>
          </cell>
          <cell r="C273">
            <v>180</v>
          </cell>
        </row>
        <row r="274">
          <cell r="B274" t="str">
            <v>ULTIMA 1000ml x 12</v>
          </cell>
          <cell r="C274">
            <v>400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0F4AEF-9761-40A5-9810-366838F2BE49}" name="Table43" displayName="Table43" ref="A7:Q200" totalsRowCount="1" headerRowDxfId="30" headerRowCellStyle="Comma 4">
  <autoFilter ref="A7:Q199" xr:uid="{C03E9E07-3F77-4113-BE08-2E41526567E8}"/>
  <sortState xmlns:xlrd2="http://schemas.microsoft.com/office/spreadsheetml/2017/richdata2" ref="A14:J137">
    <sortCondition ref="F7:F199"/>
  </sortState>
  <tableColumns count="17">
    <tableColumn id="1" xr3:uid="{AECE23C1-3766-4B1F-AA53-BF2821A13AD4}" name="DATE" totalsRowLabel="Total" dataDxfId="29" totalsRowDxfId="28" dataCellStyle="Normal 2"/>
    <tableColumn id="2" xr3:uid="{C60B479B-EFEE-4CA6-B22B-2A44B9598B0A}" name="SUPPLIER" dataDxfId="27" totalsRowDxfId="26" dataCellStyle="Normal 2"/>
    <tableColumn id="3" xr3:uid="{49C1F038-013C-4890-B349-220019813C08}" name="REF" dataDxfId="25" totalsRowDxfId="24" dataCellStyle="Normal 2"/>
    <tableColumn id="4" xr3:uid="{F4202867-9995-47F3-8EE5-C74E7A947C1D}" name="QTY." totalsRowFunction="sum" dataDxfId="23" totalsRowDxfId="22" dataCellStyle="Normal 2"/>
    <tableColumn id="5" xr3:uid="{B19A8BC3-E9F9-48E3-8704-A59FD300B561}" name="UNIT" dataDxfId="21" totalsRowDxfId="20" dataCellStyle="Normal 2"/>
    <tableColumn id="6" xr3:uid="{2E1B6660-211A-48E2-8C61-B585ED1DAC9D}" name="DESCRIPTION" dataDxfId="19" totalsRowDxfId="18" dataCellStyle="Normal 2"/>
    <tableColumn id="7" xr3:uid="{B0288478-EE3B-4776-AF5D-0F8FF4AA29EB}" name="UNIT PRICE" dataDxfId="17" totalsRowDxfId="16" dataCellStyle="Comma 5"/>
    <tableColumn id="8" xr3:uid="{9A287A8F-F766-4FBD-A052-39B7BFB03B1D}" name="SIZE" dataDxfId="15" totalsRowDxfId="14" dataCellStyle="Comma 5"/>
    <tableColumn id="9" xr3:uid="{1AD00349-C6EA-4C31-812C-1AA3756E7CD2}" name="AMOUNT" totalsRowFunction="sum" dataDxfId="13" totalsRowDxfId="12" dataCellStyle="Comma 5"/>
    <tableColumn id="10" xr3:uid="{36FA0273-3E79-4E4A-B1B7-54D871D632D9}" name="AMT/DR" totalsRowFunction="sum" dataDxfId="11" totalsRowDxfId="10" dataCellStyle="Comma 4"/>
    <tableColumn id="11" xr3:uid="{7FF05482-2B5B-4208-B9B6-7A732B6B8535}" name="Column1" totalsRowFunction="sum" dataDxfId="9" totalsRowDxfId="8" dataCellStyle="Normal 4">
      <calculatedColumnFormula>I8/1.12</calculatedColumnFormula>
    </tableColumn>
    <tableColumn id="12" xr3:uid="{1A1E9F8C-0E2F-4E83-AF11-F2908ABF1FD7}" name="Column2" totalsRowFunction="custom" dataDxfId="7" totalsRowDxfId="6" dataCellStyle="Normal 4">
      <calculatedColumnFormula>K8*0.01</calculatedColumnFormula>
      <totalsRowFormula>SUBTOTAL(109,Table43[AMT/DR])</totalsRowFormula>
    </tableColumn>
    <tableColumn id="13" xr3:uid="{9CA4CF9C-72C0-4844-9B2C-E3E9AEE8F258}" name="Column3" totalsRowFunction="custom" dataDxfId="5" totalsRowDxfId="4" dataCellStyle="Normal 4">
      <calculatedColumnFormula>Table43[[#This Row],[AMOUNT]]-Table43[[#This Row],[Column1]]</calculatedColumnFormula>
      <totalsRowFormula>SUBTOTAL(109,Table43[AMT/DR])</totalsRowFormula>
    </tableColumn>
    <tableColumn id="14" xr3:uid="{5FD93D39-9FB9-4710-BAEC-2298F98BBCB5}" name="Column4" dataDxfId="3" dataCellStyle="Normal">
      <calculatedColumnFormula>Table43[[#This Row],[Column3]]-Table43[[#This Row],[Column2]]</calculatedColumnFormula>
    </tableColumn>
    <tableColumn id="15" xr3:uid="{3E5F78CD-5570-4E2B-8F58-0DBB3E18A504}" name="Column5" dataDxfId="2" dataCellStyle="Normal">
      <calculatedColumnFormula>Table43[[#This Row],[Column4]]+Table43[[#This Row],[Column1]]</calculatedColumnFormula>
    </tableColumn>
    <tableColumn id="16" xr3:uid="{AE90C4B7-E0D8-48C3-9C42-0E8D9FA4805B}" name="Column6" dataDxfId="1" dataCellStyle="Normal">
      <calculatedColumnFormula>Table43[[#This Row],[Column5]]+Table43[[#This Row],[Column2]]</calculatedColumnFormula>
    </tableColumn>
    <tableColumn id="17" xr3:uid="{1DBEFEF2-A0DE-4627-9A4E-21CABB29B1AC}" name="Column7" dataDxfId="0" dataCellStyle="Normal">
      <calculatedColumnFormula>Table43[[#This Row],[Column6]]-Table43[[#This Row],[AMOUNT]]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0BA9-0AD3-4CB7-94B4-9BB5C42805F6}">
  <sheetPr codeName="Sheet1">
    <pageSetUpPr fitToPage="1"/>
  </sheetPr>
  <dimension ref="A1:T234"/>
  <sheetViews>
    <sheetView view="pageBreakPreview" zoomScale="89" zoomScaleNormal="100" zoomScaleSheetLayoutView="89" workbookViewId="0">
      <pane ySplit="7" topLeftCell="A11" activePane="bottomLeft" state="frozen"/>
      <selection pane="bottomLeft" activeCell="U179" sqref="U179"/>
    </sheetView>
  </sheetViews>
  <sheetFormatPr defaultRowHeight="17.100000000000001" customHeight="1" x14ac:dyDescent="0.2"/>
  <cols>
    <col min="1" max="1" width="15.7109375" style="4" customWidth="1"/>
    <col min="2" max="2" width="20.7109375" style="4" customWidth="1"/>
    <col min="3" max="3" width="18.140625" style="4" customWidth="1"/>
    <col min="4" max="4" width="11.140625" style="4" customWidth="1"/>
    <col min="5" max="5" width="9" style="4" customWidth="1"/>
    <col min="6" max="6" width="59.7109375" style="4" customWidth="1"/>
    <col min="7" max="7" width="13.42578125" style="4" customWidth="1"/>
    <col min="8" max="8" width="11.85546875" style="4" customWidth="1"/>
    <col min="9" max="9" width="18.140625" style="4" customWidth="1"/>
    <col min="10" max="10" width="19.28515625" style="4" customWidth="1"/>
    <col min="11" max="11" width="16" style="4" hidden="1" customWidth="1"/>
    <col min="12" max="13" width="14" style="4" hidden="1" customWidth="1"/>
    <col min="14" max="14" width="23" style="4" hidden="1" customWidth="1"/>
    <col min="15" max="15" width="26.28515625" style="4" hidden="1" customWidth="1"/>
    <col min="16" max="16" width="13.85546875" style="4" hidden="1" customWidth="1"/>
    <col min="17" max="17" width="22" style="4" hidden="1" customWidth="1"/>
    <col min="18" max="18" width="11.7109375" style="4" bestFit="1" customWidth="1"/>
    <col min="19" max="16384" width="9.140625" style="4"/>
  </cols>
  <sheetData>
    <row r="1" spans="1:18" ht="17.100000000000001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</row>
    <row r="2" spans="1:18" ht="17.100000000000001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3"/>
    </row>
    <row r="3" spans="1:18" ht="17.100000000000001" customHeight="1" x14ac:dyDescent="0.2">
      <c r="A3" s="1" t="s">
        <v>171</v>
      </c>
      <c r="B3" s="2"/>
      <c r="C3" s="2"/>
      <c r="D3" s="2"/>
      <c r="E3" s="2"/>
      <c r="F3" s="2"/>
      <c r="G3" s="2"/>
      <c r="H3" s="2"/>
      <c r="I3" s="3"/>
      <c r="J3" s="3"/>
    </row>
    <row r="4" spans="1:18" ht="17.100000000000001" customHeight="1" x14ac:dyDescent="0.2">
      <c r="A4" s="5"/>
      <c r="B4" s="2"/>
      <c r="C4" s="2"/>
      <c r="D4" s="2"/>
      <c r="E4" s="2"/>
      <c r="F4" s="2"/>
      <c r="G4" s="2"/>
      <c r="H4" s="2"/>
      <c r="I4" s="3"/>
      <c r="J4" s="3"/>
    </row>
    <row r="5" spans="1:18" ht="17.100000000000001" customHeight="1" x14ac:dyDescent="0.2">
      <c r="A5" s="5"/>
      <c r="B5" s="2"/>
      <c r="C5" s="2"/>
      <c r="D5" s="2"/>
      <c r="E5" s="2"/>
      <c r="F5" s="2"/>
      <c r="G5" s="2"/>
      <c r="H5" s="2"/>
      <c r="I5" s="3"/>
      <c r="J5" s="3"/>
    </row>
    <row r="6" spans="1:18" ht="17.100000000000001" customHeight="1" x14ac:dyDescent="0.2">
      <c r="A6" s="5"/>
      <c r="B6" s="2"/>
      <c r="C6" s="2"/>
      <c r="D6" s="2"/>
      <c r="E6" s="2"/>
      <c r="F6" s="2"/>
      <c r="G6" s="2"/>
      <c r="H6" s="2"/>
      <c r="I6" s="3"/>
      <c r="J6" s="3"/>
    </row>
    <row r="7" spans="1:18" ht="17.100000000000001" customHeight="1" x14ac:dyDescent="0.2">
      <c r="A7" s="6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8" t="s">
        <v>8</v>
      </c>
      <c r="H7" s="7" t="s">
        <v>9</v>
      </c>
      <c r="I7" s="9" t="s">
        <v>10</v>
      </c>
      <c r="J7" s="9" t="s">
        <v>11</v>
      </c>
      <c r="K7" s="9" t="s">
        <v>122</v>
      </c>
      <c r="L7" s="9" t="s">
        <v>123</v>
      </c>
      <c r="M7" s="9" t="s">
        <v>124</v>
      </c>
      <c r="N7" s="9" t="s">
        <v>125</v>
      </c>
      <c r="O7" s="9" t="s">
        <v>126</v>
      </c>
      <c r="P7" s="9" t="s">
        <v>127</v>
      </c>
      <c r="Q7" s="9" t="s">
        <v>128</v>
      </c>
      <c r="R7" s="10"/>
    </row>
    <row r="8" spans="1:18" s="16" customFormat="1" ht="17.100000000000001" customHeight="1" x14ac:dyDescent="0.2">
      <c r="A8" s="11"/>
      <c r="B8" s="4"/>
      <c r="C8" s="12"/>
      <c r="D8" s="12"/>
      <c r="E8" s="12"/>
      <c r="F8" s="4"/>
      <c r="G8" s="13"/>
      <c r="H8" s="13"/>
      <c r="I8" s="14"/>
      <c r="J8" s="15"/>
      <c r="K8" s="153">
        <f t="shared" ref="K8:K39" si="0">I8/1.12</f>
        <v>0</v>
      </c>
      <c r="L8" s="153">
        <f t="shared" ref="L8:L39" si="1">K8*0.01</f>
        <v>0</v>
      </c>
      <c r="M8" s="153">
        <f>Table43[[#This Row],[AMOUNT]]-Table43[[#This Row],[Column1]]</f>
        <v>0</v>
      </c>
      <c r="N8" s="27">
        <f>Table43[[#This Row],[Column3]]-Table43[[#This Row],[Column2]]</f>
        <v>0</v>
      </c>
      <c r="O8" s="27">
        <f>Table43[[#This Row],[Column4]]+Table43[[#This Row],[Column1]]</f>
        <v>0</v>
      </c>
      <c r="P8" s="27">
        <f>Table43[[#This Row],[Column5]]+Table43[[#This Row],[Column2]]</f>
        <v>0</v>
      </c>
      <c r="Q8" s="27">
        <f>Table43[[#This Row],[Column6]]-Table43[[#This Row],[AMOUNT]]</f>
        <v>0</v>
      </c>
      <c r="R8" s="17"/>
    </row>
    <row r="9" spans="1:18" s="16" customFormat="1" ht="17.100000000000001" customHeight="1" x14ac:dyDescent="0.2">
      <c r="A9" s="30"/>
      <c r="B9" s="31"/>
      <c r="C9" s="32"/>
      <c r="D9" s="93"/>
      <c r="E9" s="32"/>
      <c r="F9" s="31"/>
      <c r="G9" s="33"/>
      <c r="H9" s="33"/>
      <c r="I9" s="34"/>
      <c r="J9" s="23"/>
      <c r="K9" s="153">
        <f t="shared" si="0"/>
        <v>0</v>
      </c>
      <c r="L9" s="153">
        <f t="shared" si="1"/>
        <v>0</v>
      </c>
      <c r="M9" s="153">
        <f>Table43[[#This Row],[AMOUNT]]-Table43[[#This Row],[Column1]]</f>
        <v>0</v>
      </c>
      <c r="N9" s="27">
        <f>Table43[[#This Row],[Column3]]-Table43[[#This Row],[Column2]]</f>
        <v>0</v>
      </c>
      <c r="O9" s="27">
        <f>Table43[[#This Row],[Column4]]+Table43[[#This Row],[Column1]]</f>
        <v>0</v>
      </c>
      <c r="P9" s="27">
        <f>Table43[[#This Row],[Column5]]+Table43[[#This Row],[Column2]]</f>
        <v>0</v>
      </c>
      <c r="Q9" s="27">
        <f>Table43[[#This Row],[Column6]]-Table43[[#This Row],[AMOUNT]]</f>
        <v>0</v>
      </c>
      <c r="R9" s="17"/>
    </row>
    <row r="10" spans="1:18" s="16" customFormat="1" ht="17.100000000000001" customHeight="1" x14ac:dyDescent="0.2">
      <c r="A10" s="11"/>
      <c r="B10" s="4"/>
      <c r="C10" s="12"/>
      <c r="D10" s="19"/>
      <c r="E10" s="19"/>
      <c r="F10" s="18"/>
      <c r="G10" s="20"/>
      <c r="H10" s="21"/>
      <c r="I10" s="14"/>
      <c r="J10" s="23"/>
      <c r="K10" s="153">
        <f t="shared" si="0"/>
        <v>0</v>
      </c>
      <c r="L10" s="153">
        <f t="shared" si="1"/>
        <v>0</v>
      </c>
      <c r="M10" s="153">
        <f>Table43[[#This Row],[AMOUNT]]-Table43[[#This Row],[Column1]]</f>
        <v>0</v>
      </c>
      <c r="N10" s="27">
        <f>Table43[[#This Row],[Column3]]-Table43[[#This Row],[Column2]]</f>
        <v>0</v>
      </c>
      <c r="O10" s="27">
        <f>Table43[[#This Row],[Column4]]+Table43[[#This Row],[Column1]]</f>
        <v>0</v>
      </c>
      <c r="P10" s="27">
        <f>Table43[[#This Row],[Column5]]+Table43[[#This Row],[Column2]]</f>
        <v>0</v>
      </c>
      <c r="Q10" s="27">
        <f>Table43[[#This Row],[Column6]]-Table43[[#This Row],[AMOUNT]]</f>
        <v>0</v>
      </c>
      <c r="R10" s="17"/>
    </row>
    <row r="11" spans="1:18" s="16" customFormat="1" ht="17.100000000000001" customHeight="1" x14ac:dyDescent="0.2">
      <c r="A11" s="11"/>
      <c r="B11" s="4"/>
      <c r="C11" s="12"/>
      <c r="D11" s="19"/>
      <c r="E11" s="19"/>
      <c r="F11" s="18"/>
      <c r="G11" s="20"/>
      <c r="H11" s="21"/>
      <c r="I11" s="14"/>
      <c r="J11" s="15"/>
      <c r="K11" s="153">
        <f t="shared" si="0"/>
        <v>0</v>
      </c>
      <c r="L11" s="153">
        <f t="shared" si="1"/>
        <v>0</v>
      </c>
      <c r="M11" s="153">
        <f>Table43[[#This Row],[AMOUNT]]-Table43[[#This Row],[Column1]]</f>
        <v>0</v>
      </c>
      <c r="N11" s="27">
        <f>Table43[[#This Row],[Column3]]-Table43[[#This Row],[Column2]]</f>
        <v>0</v>
      </c>
      <c r="O11" s="27">
        <f>Table43[[#This Row],[Column4]]+Table43[[#This Row],[Column1]]</f>
        <v>0</v>
      </c>
      <c r="P11" s="27">
        <f>Table43[[#This Row],[Column5]]+Table43[[#This Row],[Column2]]</f>
        <v>0</v>
      </c>
      <c r="Q11" s="27">
        <f>Table43[[#This Row],[Column6]]-Table43[[#This Row],[AMOUNT]]</f>
        <v>0</v>
      </c>
      <c r="R11" s="17"/>
    </row>
    <row r="12" spans="1:18" s="16" customFormat="1" ht="17.100000000000001" customHeight="1" x14ac:dyDescent="0.2">
      <c r="A12" s="11"/>
      <c r="B12" s="4"/>
      <c r="C12" s="12"/>
      <c r="D12" s="93"/>
      <c r="E12" s="32"/>
      <c r="F12" s="31"/>
      <c r="G12" s="33"/>
      <c r="H12" s="33"/>
      <c r="I12" s="34"/>
      <c r="J12" s="23"/>
      <c r="K12" s="153">
        <f t="shared" si="0"/>
        <v>0</v>
      </c>
      <c r="L12" s="153">
        <f t="shared" si="1"/>
        <v>0</v>
      </c>
      <c r="M12" s="153">
        <f>Table43[[#This Row],[AMOUNT]]-Table43[[#This Row],[Column1]]</f>
        <v>0</v>
      </c>
      <c r="N12" s="27">
        <f>Table43[[#This Row],[Column3]]-Table43[[#This Row],[Column2]]</f>
        <v>0</v>
      </c>
      <c r="O12" s="27">
        <f>Table43[[#This Row],[Column4]]+Table43[[#This Row],[Column1]]</f>
        <v>0</v>
      </c>
      <c r="P12" s="27">
        <f>Table43[[#This Row],[Column5]]+Table43[[#This Row],[Column2]]</f>
        <v>0</v>
      </c>
      <c r="Q12" s="27">
        <f>Table43[[#This Row],[Column6]]-Table43[[#This Row],[AMOUNT]]</f>
        <v>0</v>
      </c>
      <c r="R12" s="17"/>
    </row>
    <row r="13" spans="1:18" s="16" customFormat="1" ht="17.100000000000001" customHeight="1" x14ac:dyDescent="0.2">
      <c r="A13" s="11"/>
      <c r="B13" s="4"/>
      <c r="C13" s="12"/>
      <c r="D13" s="19"/>
      <c r="E13" s="19"/>
      <c r="F13" s="18"/>
      <c r="G13" s="20"/>
      <c r="H13" s="21"/>
      <c r="I13" s="14"/>
      <c r="J13" s="15"/>
      <c r="K13" s="153">
        <f t="shared" si="0"/>
        <v>0</v>
      </c>
      <c r="L13" s="153">
        <f t="shared" si="1"/>
        <v>0</v>
      </c>
      <c r="M13" s="153">
        <f>Table43[[#This Row],[AMOUNT]]-Table43[[#This Row],[Column1]]</f>
        <v>0</v>
      </c>
      <c r="N13" s="27">
        <f>Table43[[#This Row],[Column3]]-Table43[[#This Row],[Column2]]</f>
        <v>0</v>
      </c>
      <c r="O13" s="27">
        <f>Table43[[#This Row],[Column4]]+Table43[[#This Row],[Column1]]</f>
        <v>0</v>
      </c>
      <c r="P13" s="27">
        <f>Table43[[#This Row],[Column5]]+Table43[[#This Row],[Column2]]</f>
        <v>0</v>
      </c>
      <c r="Q13" s="27">
        <f>Table43[[#This Row],[Column6]]-Table43[[#This Row],[AMOUNT]]</f>
        <v>0</v>
      </c>
      <c r="R13" s="17"/>
    </row>
    <row r="14" spans="1:18" s="16" customFormat="1" ht="17.100000000000001" customHeight="1" x14ac:dyDescent="0.2">
      <c r="A14" s="11"/>
      <c r="B14" s="4"/>
      <c r="C14" s="12"/>
      <c r="D14" s="19"/>
      <c r="E14" s="19"/>
      <c r="F14" s="18"/>
      <c r="G14" s="20"/>
      <c r="H14" s="21"/>
      <c r="I14" s="14"/>
      <c r="J14" s="15"/>
      <c r="K14" s="153">
        <f t="shared" si="0"/>
        <v>0</v>
      </c>
      <c r="L14" s="153">
        <f t="shared" si="1"/>
        <v>0</v>
      </c>
      <c r="M14" s="153">
        <f>Table43[[#This Row],[AMOUNT]]-Table43[[#This Row],[Column1]]</f>
        <v>0</v>
      </c>
      <c r="N14" s="27">
        <f>Table43[[#This Row],[Column3]]-Table43[[#This Row],[Column2]]</f>
        <v>0</v>
      </c>
      <c r="O14" s="27">
        <f>Table43[[#This Row],[Column4]]+Table43[[#This Row],[Column1]]</f>
        <v>0</v>
      </c>
      <c r="P14" s="27">
        <f>Table43[[#This Row],[Column5]]+Table43[[#This Row],[Column2]]</f>
        <v>0</v>
      </c>
      <c r="Q14" s="27">
        <f>Table43[[#This Row],[Column6]]-Table43[[#This Row],[AMOUNT]]</f>
        <v>0</v>
      </c>
      <c r="R14" s="17"/>
    </row>
    <row r="15" spans="1:18" s="16" customFormat="1" ht="17.100000000000001" customHeight="1" x14ac:dyDescent="0.2">
      <c r="A15" s="11"/>
      <c r="B15" s="4"/>
      <c r="C15" s="12"/>
      <c r="D15" s="19"/>
      <c r="E15" s="19"/>
      <c r="F15" s="18"/>
      <c r="G15" s="20"/>
      <c r="H15" s="21"/>
      <c r="I15" s="14"/>
      <c r="J15" s="15"/>
      <c r="K15" s="153">
        <f t="shared" si="0"/>
        <v>0</v>
      </c>
      <c r="L15" s="153">
        <f t="shared" si="1"/>
        <v>0</v>
      </c>
      <c r="M15" s="153">
        <f>Table43[[#This Row],[AMOUNT]]-Table43[[#This Row],[Column1]]</f>
        <v>0</v>
      </c>
      <c r="N15" s="27">
        <f>Table43[[#This Row],[Column3]]-Table43[[#This Row],[Column2]]</f>
        <v>0</v>
      </c>
      <c r="O15" s="27">
        <f>Table43[[#This Row],[Column4]]+Table43[[#This Row],[Column1]]</f>
        <v>0</v>
      </c>
      <c r="P15" s="27">
        <f>Table43[[#This Row],[Column5]]+Table43[[#This Row],[Column2]]</f>
        <v>0</v>
      </c>
      <c r="Q15" s="27">
        <f>Table43[[#This Row],[Column6]]-Table43[[#This Row],[AMOUNT]]</f>
        <v>0</v>
      </c>
      <c r="R15" s="17"/>
    </row>
    <row r="16" spans="1:18" s="16" customFormat="1" ht="17.100000000000001" customHeight="1" x14ac:dyDescent="0.2">
      <c r="A16" s="11"/>
      <c r="B16" s="4"/>
      <c r="C16" s="12"/>
      <c r="D16" s="93"/>
      <c r="E16" s="32"/>
      <c r="F16" s="31"/>
      <c r="G16" s="33"/>
      <c r="H16" s="33"/>
      <c r="I16" s="34"/>
      <c r="J16" s="23"/>
      <c r="K16" s="153">
        <f t="shared" si="0"/>
        <v>0</v>
      </c>
      <c r="L16" s="153">
        <f t="shared" si="1"/>
        <v>0</v>
      </c>
      <c r="M16" s="153">
        <f>Table43[[#This Row],[AMOUNT]]-Table43[[#This Row],[Column1]]</f>
        <v>0</v>
      </c>
      <c r="N16" s="27">
        <f>Table43[[#This Row],[Column3]]-Table43[[#This Row],[Column2]]</f>
        <v>0</v>
      </c>
      <c r="O16" s="27">
        <f>Table43[[#This Row],[Column4]]+Table43[[#This Row],[Column1]]</f>
        <v>0</v>
      </c>
      <c r="P16" s="27">
        <f>Table43[[#This Row],[Column5]]+Table43[[#This Row],[Column2]]</f>
        <v>0</v>
      </c>
      <c r="Q16" s="27">
        <f>Table43[[#This Row],[Column6]]-Table43[[#This Row],[AMOUNT]]</f>
        <v>0</v>
      </c>
      <c r="R16" s="17"/>
    </row>
    <row r="17" spans="1:18" s="25" customFormat="1" ht="17.100000000000001" customHeight="1" x14ac:dyDescent="0.2">
      <c r="A17" s="11"/>
      <c r="B17" s="4"/>
      <c r="C17" s="12"/>
      <c r="D17" s="93"/>
      <c r="E17" s="32"/>
      <c r="F17" s="31"/>
      <c r="G17" s="33"/>
      <c r="H17" s="33"/>
      <c r="I17" s="34"/>
      <c r="J17" s="23"/>
      <c r="K17" s="154">
        <f t="shared" si="0"/>
        <v>0</v>
      </c>
      <c r="L17" s="154">
        <f t="shared" si="1"/>
        <v>0</v>
      </c>
      <c r="M17" s="154">
        <f>Table43[[#This Row],[AMOUNT]]-Table43[[#This Row],[Column1]]</f>
        <v>0</v>
      </c>
      <c r="N17" s="27">
        <f>Table43[[#This Row],[Column3]]-Table43[[#This Row],[Column2]]</f>
        <v>0</v>
      </c>
      <c r="O17" s="27">
        <f>Table43[[#This Row],[Column4]]+Table43[[#This Row],[Column1]]</f>
        <v>0</v>
      </c>
      <c r="P17" s="27">
        <f>Table43[[#This Row],[Column5]]+Table43[[#This Row],[Column2]]</f>
        <v>0</v>
      </c>
      <c r="Q17" s="27">
        <f>Table43[[#This Row],[Column6]]-Table43[[#This Row],[AMOUNT]]</f>
        <v>0</v>
      </c>
      <c r="R17" s="24"/>
    </row>
    <row r="18" spans="1:18" s="16" customFormat="1" ht="17.100000000000001" customHeight="1" x14ac:dyDescent="0.2">
      <c r="A18" s="11"/>
      <c r="B18" s="4"/>
      <c r="C18" s="12"/>
      <c r="D18" s="93"/>
      <c r="E18" s="32"/>
      <c r="F18" s="31"/>
      <c r="G18" s="33"/>
      <c r="H18" s="33"/>
      <c r="I18" s="34"/>
      <c r="J18" s="23"/>
      <c r="K18" s="153">
        <f t="shared" si="0"/>
        <v>0</v>
      </c>
      <c r="L18" s="153">
        <f t="shared" si="1"/>
        <v>0</v>
      </c>
      <c r="M18" s="153">
        <f>Table43[[#This Row],[AMOUNT]]-Table43[[#This Row],[Column1]]</f>
        <v>0</v>
      </c>
      <c r="N18" s="27">
        <f>Table43[[#This Row],[Column3]]-Table43[[#This Row],[Column2]]</f>
        <v>0</v>
      </c>
      <c r="O18" s="27">
        <f>Table43[[#This Row],[Column4]]+Table43[[#This Row],[Column1]]</f>
        <v>0</v>
      </c>
      <c r="P18" s="27">
        <f>Table43[[#This Row],[Column5]]+Table43[[#This Row],[Column2]]</f>
        <v>0</v>
      </c>
      <c r="Q18" s="27">
        <f>Table43[[#This Row],[Column6]]-Table43[[#This Row],[AMOUNT]]</f>
        <v>0</v>
      </c>
      <c r="R18" s="17"/>
    </row>
    <row r="19" spans="1:18" s="16" customFormat="1" ht="17.100000000000001" customHeight="1" x14ac:dyDescent="0.2">
      <c r="A19" s="11"/>
      <c r="B19" s="4"/>
      <c r="C19" s="12"/>
      <c r="D19" s="93"/>
      <c r="E19" s="32"/>
      <c r="F19" s="31"/>
      <c r="G19" s="33"/>
      <c r="H19" s="33"/>
      <c r="I19" s="34"/>
      <c r="J19" s="23"/>
      <c r="K19" s="153">
        <f t="shared" si="0"/>
        <v>0</v>
      </c>
      <c r="L19" s="153">
        <f t="shared" si="1"/>
        <v>0</v>
      </c>
      <c r="M19" s="153">
        <f>Table43[[#This Row],[AMOUNT]]-Table43[[#This Row],[Column1]]</f>
        <v>0</v>
      </c>
      <c r="N19" s="27">
        <f>Table43[[#This Row],[Column3]]-Table43[[#This Row],[Column2]]</f>
        <v>0</v>
      </c>
      <c r="O19" s="27">
        <f>Table43[[#This Row],[Column4]]+Table43[[#This Row],[Column1]]</f>
        <v>0</v>
      </c>
      <c r="P19" s="27">
        <f>Table43[[#This Row],[Column5]]+Table43[[#This Row],[Column2]]</f>
        <v>0</v>
      </c>
      <c r="Q19" s="27">
        <f>Table43[[#This Row],[Column6]]-Table43[[#This Row],[AMOUNT]]</f>
        <v>0</v>
      </c>
      <c r="R19" s="17"/>
    </row>
    <row r="20" spans="1:18" s="16" customFormat="1" ht="17.100000000000001" customHeight="1" x14ac:dyDescent="0.2">
      <c r="A20" s="11"/>
      <c r="B20" s="4"/>
      <c r="C20" s="12"/>
      <c r="D20" s="93"/>
      <c r="E20" s="32"/>
      <c r="F20" s="31"/>
      <c r="G20" s="33"/>
      <c r="H20" s="33"/>
      <c r="I20" s="34"/>
      <c r="J20" s="23"/>
      <c r="K20" s="153">
        <f t="shared" si="0"/>
        <v>0</v>
      </c>
      <c r="L20" s="153">
        <f>K20*0.01</f>
        <v>0</v>
      </c>
      <c r="M20" s="153">
        <f>Table43[[#This Row],[AMOUNT]]-Table43[[#This Row],[Column1]]</f>
        <v>0</v>
      </c>
      <c r="N20" s="27">
        <f>Table43[[#This Row],[Column3]]-Table43[[#This Row],[Column2]]</f>
        <v>0</v>
      </c>
      <c r="O20" s="27">
        <f>Table43[[#This Row],[Column4]]+Table43[[#This Row],[Column1]]</f>
        <v>0</v>
      </c>
      <c r="P20" s="27">
        <f>Table43[[#This Row],[Column5]]+Table43[[#This Row],[Column2]]</f>
        <v>0</v>
      </c>
      <c r="Q20" s="27">
        <f>Table43[[#This Row],[Column6]]-Table43[[#This Row],[AMOUNT]]</f>
        <v>0</v>
      </c>
      <c r="R20" s="17"/>
    </row>
    <row r="21" spans="1:18" s="16" customFormat="1" ht="17.100000000000001" customHeight="1" x14ac:dyDescent="0.2">
      <c r="A21" s="11"/>
      <c r="B21" s="4"/>
      <c r="C21" s="12"/>
      <c r="D21" s="93"/>
      <c r="E21" s="32"/>
      <c r="F21" s="31"/>
      <c r="G21" s="33"/>
      <c r="H21" s="33"/>
      <c r="I21" s="34"/>
      <c r="J21" s="23"/>
      <c r="K21" s="153">
        <f t="shared" si="0"/>
        <v>0</v>
      </c>
      <c r="L21" s="153">
        <f t="shared" si="1"/>
        <v>0</v>
      </c>
      <c r="M21" s="153">
        <f>Table43[[#This Row],[AMOUNT]]-Table43[[#This Row],[Column1]]</f>
        <v>0</v>
      </c>
      <c r="N21" s="27">
        <f>Table43[[#This Row],[Column3]]-Table43[[#This Row],[Column2]]</f>
        <v>0</v>
      </c>
      <c r="O21" s="27">
        <f>Table43[[#This Row],[Column4]]+Table43[[#This Row],[Column1]]</f>
        <v>0</v>
      </c>
      <c r="P21" s="27">
        <f>Table43[[#This Row],[Column5]]+Table43[[#This Row],[Column2]]</f>
        <v>0</v>
      </c>
      <c r="Q21" s="27">
        <f>Table43[[#This Row],[Column6]]-Table43[[#This Row],[AMOUNT]]</f>
        <v>0</v>
      </c>
      <c r="R21" s="17"/>
    </row>
    <row r="22" spans="1:18" s="16" customFormat="1" ht="17.100000000000001" customHeight="1" x14ac:dyDescent="0.2">
      <c r="A22" s="11"/>
      <c r="B22" s="4"/>
      <c r="C22" s="12"/>
      <c r="D22" s="93"/>
      <c r="E22" s="32"/>
      <c r="F22" s="31"/>
      <c r="G22" s="33"/>
      <c r="H22" s="33"/>
      <c r="I22" s="34"/>
      <c r="J22" s="23"/>
      <c r="K22" s="153">
        <f t="shared" si="0"/>
        <v>0</v>
      </c>
      <c r="L22" s="153">
        <f t="shared" si="1"/>
        <v>0</v>
      </c>
      <c r="M22" s="153">
        <f>Table43[[#This Row],[AMOUNT]]-Table43[[#This Row],[Column1]]</f>
        <v>0</v>
      </c>
      <c r="N22" s="27">
        <f>Table43[[#This Row],[Column3]]-Table43[[#This Row],[Column2]]</f>
        <v>0</v>
      </c>
      <c r="O22" s="27">
        <f>Table43[[#This Row],[Column4]]+Table43[[#This Row],[Column1]]</f>
        <v>0</v>
      </c>
      <c r="P22" s="27">
        <f>Table43[[#This Row],[Column5]]+Table43[[#This Row],[Column2]]</f>
        <v>0</v>
      </c>
      <c r="Q22" s="27">
        <f>Table43[[#This Row],[Column6]]-Table43[[#This Row],[AMOUNT]]</f>
        <v>0</v>
      </c>
      <c r="R22" s="17"/>
    </row>
    <row r="23" spans="1:18" s="16" customFormat="1" ht="17.100000000000001" customHeight="1" x14ac:dyDescent="0.2">
      <c r="A23" s="11"/>
      <c r="B23" s="4"/>
      <c r="C23" s="12"/>
      <c r="D23" s="93"/>
      <c r="E23" s="32"/>
      <c r="F23" s="31"/>
      <c r="G23" s="33"/>
      <c r="H23" s="33"/>
      <c r="I23" s="34"/>
      <c r="J23" s="23"/>
      <c r="K23" s="153">
        <f t="shared" si="0"/>
        <v>0</v>
      </c>
      <c r="L23" s="153">
        <f t="shared" si="1"/>
        <v>0</v>
      </c>
      <c r="M23" s="153">
        <f>Table43[[#This Row],[AMOUNT]]-Table43[[#This Row],[Column1]]</f>
        <v>0</v>
      </c>
      <c r="N23" s="27">
        <f>Table43[[#This Row],[Column3]]-Table43[[#This Row],[Column2]]</f>
        <v>0</v>
      </c>
      <c r="O23" s="27">
        <f>Table43[[#This Row],[Column4]]+Table43[[#This Row],[Column1]]</f>
        <v>0</v>
      </c>
      <c r="P23" s="27">
        <f>Table43[[#This Row],[Column5]]+Table43[[#This Row],[Column2]]</f>
        <v>0</v>
      </c>
      <c r="Q23" s="27">
        <f>Table43[[#This Row],[Column6]]-Table43[[#This Row],[AMOUNT]]</f>
        <v>0</v>
      </c>
      <c r="R23" s="17"/>
    </row>
    <row r="24" spans="1:18" s="16" customFormat="1" ht="17.100000000000001" customHeight="1" x14ac:dyDescent="0.2">
      <c r="A24" s="11"/>
      <c r="B24" s="4"/>
      <c r="C24" s="12"/>
      <c r="D24" s="93"/>
      <c r="E24" s="32"/>
      <c r="F24" s="31"/>
      <c r="G24" s="33"/>
      <c r="H24" s="33"/>
      <c r="I24" s="34"/>
      <c r="J24" s="23"/>
      <c r="K24" s="153">
        <f t="shared" si="0"/>
        <v>0</v>
      </c>
      <c r="L24" s="153">
        <f t="shared" si="1"/>
        <v>0</v>
      </c>
      <c r="M24" s="153">
        <f>Table43[[#This Row],[AMOUNT]]-Table43[[#This Row],[Column1]]</f>
        <v>0</v>
      </c>
      <c r="N24" s="27">
        <f>Table43[[#This Row],[Column3]]-Table43[[#This Row],[Column2]]</f>
        <v>0</v>
      </c>
      <c r="O24" s="27">
        <f>Table43[[#This Row],[Column4]]+Table43[[#This Row],[Column1]]</f>
        <v>0</v>
      </c>
      <c r="P24" s="27">
        <f>Table43[[#This Row],[Column5]]+Table43[[#This Row],[Column2]]</f>
        <v>0</v>
      </c>
      <c r="Q24" s="27">
        <f>Table43[[#This Row],[Column6]]-Table43[[#This Row],[AMOUNT]]</f>
        <v>0</v>
      </c>
      <c r="R24" s="17"/>
    </row>
    <row r="25" spans="1:18" s="16" customFormat="1" ht="17.100000000000001" customHeight="1" x14ac:dyDescent="0.2">
      <c r="A25" s="11"/>
      <c r="B25" s="4"/>
      <c r="C25" s="12"/>
      <c r="D25" s="93"/>
      <c r="E25" s="32"/>
      <c r="F25" s="31"/>
      <c r="G25" s="33"/>
      <c r="H25" s="33"/>
      <c r="I25" s="34"/>
      <c r="J25" s="23"/>
      <c r="K25" s="153">
        <f t="shared" si="0"/>
        <v>0</v>
      </c>
      <c r="L25" s="153">
        <f t="shared" si="1"/>
        <v>0</v>
      </c>
      <c r="M25" s="153">
        <f>Table43[[#This Row],[AMOUNT]]-Table43[[#This Row],[Column1]]</f>
        <v>0</v>
      </c>
      <c r="N25" s="27">
        <f>Table43[[#This Row],[Column3]]-Table43[[#This Row],[Column2]]</f>
        <v>0</v>
      </c>
      <c r="O25" s="27">
        <f>Table43[[#This Row],[Column4]]+Table43[[#This Row],[Column1]]</f>
        <v>0</v>
      </c>
      <c r="P25" s="27">
        <f>Table43[[#This Row],[Column5]]+Table43[[#This Row],[Column2]]</f>
        <v>0</v>
      </c>
      <c r="Q25" s="27">
        <f>Table43[[#This Row],[Column6]]-Table43[[#This Row],[AMOUNT]]</f>
        <v>0</v>
      </c>
      <c r="R25" s="17"/>
    </row>
    <row r="26" spans="1:18" s="16" customFormat="1" ht="17.100000000000001" customHeight="1" x14ac:dyDescent="0.2">
      <c r="A26" s="11"/>
      <c r="B26" s="4"/>
      <c r="C26" s="12"/>
      <c r="D26" s="93"/>
      <c r="E26" s="32"/>
      <c r="F26" s="31"/>
      <c r="G26" s="33"/>
      <c r="H26" s="33"/>
      <c r="I26" s="34"/>
      <c r="J26" s="23"/>
      <c r="K26" s="153">
        <f t="shared" si="0"/>
        <v>0</v>
      </c>
      <c r="L26" s="153">
        <f t="shared" si="1"/>
        <v>0</v>
      </c>
      <c r="M26" s="153">
        <f>Table43[[#This Row],[AMOUNT]]-Table43[[#This Row],[Column1]]</f>
        <v>0</v>
      </c>
      <c r="N26" s="27">
        <f>Table43[[#This Row],[Column3]]-Table43[[#This Row],[Column2]]</f>
        <v>0</v>
      </c>
      <c r="O26" s="27">
        <f>Table43[[#This Row],[Column4]]+Table43[[#This Row],[Column1]]</f>
        <v>0</v>
      </c>
      <c r="P26" s="27">
        <f>Table43[[#This Row],[Column5]]+Table43[[#This Row],[Column2]]</f>
        <v>0</v>
      </c>
      <c r="Q26" s="27">
        <f>Table43[[#This Row],[Column6]]-Table43[[#This Row],[AMOUNT]]</f>
        <v>0</v>
      </c>
      <c r="R26" s="17"/>
    </row>
    <row r="27" spans="1:18" ht="17.100000000000001" customHeight="1" x14ac:dyDescent="0.2">
      <c r="A27" s="11"/>
      <c r="C27" s="12"/>
      <c r="D27" s="93"/>
      <c r="E27" s="32"/>
      <c r="F27" s="31"/>
      <c r="G27" s="33"/>
      <c r="H27" s="33"/>
      <c r="I27" s="34"/>
      <c r="J27" s="23"/>
      <c r="K27" s="27">
        <f t="shared" si="0"/>
        <v>0</v>
      </c>
      <c r="L27" s="27">
        <f t="shared" si="1"/>
        <v>0</v>
      </c>
      <c r="M27" s="27">
        <f>Table43[[#This Row],[AMOUNT]]-Table43[[#This Row],[Column1]]</f>
        <v>0</v>
      </c>
      <c r="N27" s="27">
        <f>Table43[[#This Row],[Column3]]-Table43[[#This Row],[Column2]]</f>
        <v>0</v>
      </c>
      <c r="O27" s="27">
        <f>Table43[[#This Row],[Column4]]+Table43[[#This Row],[Column1]]</f>
        <v>0</v>
      </c>
      <c r="P27" s="27">
        <f>Table43[[#This Row],[Column5]]+Table43[[#This Row],[Column2]]</f>
        <v>0</v>
      </c>
      <c r="Q27" s="27">
        <f>Table43[[#This Row],[Column6]]-Table43[[#This Row],[AMOUNT]]</f>
        <v>0</v>
      </c>
      <c r="R27" s="10"/>
    </row>
    <row r="28" spans="1:18" ht="17.100000000000001" customHeight="1" x14ac:dyDescent="0.2">
      <c r="A28" s="11"/>
      <c r="C28" s="12"/>
      <c r="D28" s="93"/>
      <c r="E28" s="32"/>
      <c r="F28" s="31"/>
      <c r="G28" s="33"/>
      <c r="H28" s="33"/>
      <c r="I28" s="34"/>
      <c r="J28" s="23"/>
      <c r="K28" s="27">
        <f t="shared" si="0"/>
        <v>0</v>
      </c>
      <c r="L28" s="27">
        <f t="shared" si="1"/>
        <v>0</v>
      </c>
      <c r="M28" s="27">
        <f>Table43[[#This Row],[AMOUNT]]-Table43[[#This Row],[Column1]]</f>
        <v>0</v>
      </c>
      <c r="N28" s="27">
        <f>Table43[[#This Row],[Column3]]-Table43[[#This Row],[Column2]]</f>
        <v>0</v>
      </c>
      <c r="O28" s="27">
        <f>Table43[[#This Row],[Column4]]+Table43[[#This Row],[Column1]]</f>
        <v>0</v>
      </c>
      <c r="P28" s="27">
        <f>Table43[[#This Row],[Column5]]+Table43[[#This Row],[Column2]]</f>
        <v>0</v>
      </c>
      <c r="Q28" s="27">
        <f>Table43[[#This Row],[Column6]]-Table43[[#This Row],[AMOUNT]]</f>
        <v>0</v>
      </c>
      <c r="R28" s="10"/>
    </row>
    <row r="29" spans="1:18" s="16" customFormat="1" ht="17.100000000000001" customHeight="1" x14ac:dyDescent="0.2">
      <c r="A29" s="11"/>
      <c r="B29" s="4"/>
      <c r="C29" s="12"/>
      <c r="D29" s="93"/>
      <c r="E29" s="32"/>
      <c r="F29" s="31"/>
      <c r="G29" s="33"/>
      <c r="H29" s="33"/>
      <c r="I29" s="34"/>
      <c r="J29" s="23"/>
      <c r="K29" s="153">
        <f t="shared" si="0"/>
        <v>0</v>
      </c>
      <c r="L29" s="153">
        <f t="shared" si="1"/>
        <v>0</v>
      </c>
      <c r="M29" s="153">
        <f>Table43[[#This Row],[AMOUNT]]-Table43[[#This Row],[Column1]]</f>
        <v>0</v>
      </c>
      <c r="N29" s="27">
        <f>Table43[[#This Row],[Column3]]-Table43[[#This Row],[Column2]]</f>
        <v>0</v>
      </c>
      <c r="O29" s="27">
        <f>Table43[[#This Row],[Column4]]+Table43[[#This Row],[Column1]]</f>
        <v>0</v>
      </c>
      <c r="P29" s="27">
        <f>Table43[[#This Row],[Column5]]+Table43[[#This Row],[Column2]]</f>
        <v>0</v>
      </c>
      <c r="Q29" s="27">
        <f>Table43[[#This Row],[Column6]]-Table43[[#This Row],[AMOUNT]]</f>
        <v>0</v>
      </c>
      <c r="R29" s="17"/>
    </row>
    <row r="30" spans="1:18" ht="17.100000000000001" customHeight="1" x14ac:dyDescent="0.2">
      <c r="A30" s="11"/>
      <c r="C30" s="12"/>
      <c r="D30" s="93"/>
      <c r="E30" s="32"/>
      <c r="F30" s="31"/>
      <c r="G30" s="33"/>
      <c r="H30" s="33"/>
      <c r="I30" s="34"/>
      <c r="J30" s="23"/>
      <c r="K30" s="27">
        <f t="shared" si="0"/>
        <v>0</v>
      </c>
      <c r="L30" s="27">
        <f t="shared" si="1"/>
        <v>0</v>
      </c>
      <c r="M30" s="27">
        <f>Table43[[#This Row],[AMOUNT]]-Table43[[#This Row],[Column1]]</f>
        <v>0</v>
      </c>
      <c r="N30" s="27">
        <f>Table43[[#This Row],[Column3]]-Table43[[#This Row],[Column2]]</f>
        <v>0</v>
      </c>
      <c r="O30" s="27">
        <f>Table43[[#This Row],[Column4]]+Table43[[#This Row],[Column1]]</f>
        <v>0</v>
      </c>
      <c r="P30" s="27">
        <f>Table43[[#This Row],[Column5]]+Table43[[#This Row],[Column2]]</f>
        <v>0</v>
      </c>
      <c r="Q30" s="27">
        <f>Table43[[#This Row],[Column6]]-Table43[[#This Row],[AMOUNT]]</f>
        <v>0</v>
      </c>
      <c r="R30" s="10"/>
    </row>
    <row r="31" spans="1:18" ht="17.100000000000001" customHeight="1" x14ac:dyDescent="0.2">
      <c r="A31" s="11"/>
      <c r="C31" s="12"/>
      <c r="D31" s="93"/>
      <c r="E31" s="32"/>
      <c r="F31" s="31"/>
      <c r="G31" s="33"/>
      <c r="H31" s="33"/>
      <c r="I31" s="34"/>
      <c r="J31" s="23"/>
      <c r="K31" s="27">
        <f t="shared" si="0"/>
        <v>0</v>
      </c>
      <c r="L31" s="27">
        <f t="shared" si="1"/>
        <v>0</v>
      </c>
      <c r="M31" s="27">
        <f>Table43[[#This Row],[AMOUNT]]-Table43[[#This Row],[Column1]]</f>
        <v>0</v>
      </c>
      <c r="N31" s="27">
        <f>Table43[[#This Row],[Column3]]-Table43[[#This Row],[Column2]]</f>
        <v>0</v>
      </c>
      <c r="O31" s="27">
        <f>Table43[[#This Row],[Column4]]+Table43[[#This Row],[Column1]]</f>
        <v>0</v>
      </c>
      <c r="P31" s="27">
        <f>Table43[[#This Row],[Column5]]+Table43[[#This Row],[Column2]]</f>
        <v>0</v>
      </c>
      <c r="Q31" s="27">
        <f>Table43[[#This Row],[Column6]]-Table43[[#This Row],[AMOUNT]]</f>
        <v>0</v>
      </c>
      <c r="R31" s="10"/>
    </row>
    <row r="32" spans="1:18" ht="17.100000000000001" customHeight="1" x14ac:dyDescent="0.2">
      <c r="A32" s="11"/>
      <c r="C32" s="12"/>
      <c r="D32" s="93"/>
      <c r="E32" s="32"/>
      <c r="F32" s="31"/>
      <c r="G32" s="33"/>
      <c r="H32" s="33"/>
      <c r="I32" s="34"/>
      <c r="J32" s="23"/>
      <c r="K32" s="27">
        <f t="shared" si="0"/>
        <v>0</v>
      </c>
      <c r="L32" s="27">
        <f t="shared" si="1"/>
        <v>0</v>
      </c>
      <c r="M32" s="27">
        <f>Table43[[#This Row],[AMOUNT]]-Table43[[#This Row],[Column1]]</f>
        <v>0</v>
      </c>
      <c r="N32" s="27">
        <f>Table43[[#This Row],[Column3]]-Table43[[#This Row],[Column2]]</f>
        <v>0</v>
      </c>
      <c r="O32" s="27">
        <f>Table43[[#This Row],[Column4]]+Table43[[#This Row],[Column1]]</f>
        <v>0</v>
      </c>
      <c r="P32" s="27">
        <f>Table43[[#This Row],[Column5]]+Table43[[#This Row],[Column2]]</f>
        <v>0</v>
      </c>
      <c r="Q32" s="27">
        <f>Table43[[#This Row],[Column6]]-Table43[[#This Row],[AMOUNT]]</f>
        <v>0</v>
      </c>
      <c r="R32" s="10"/>
    </row>
    <row r="33" spans="1:20" ht="17.100000000000001" customHeight="1" x14ac:dyDescent="0.2">
      <c r="A33" s="11"/>
      <c r="C33" s="12"/>
      <c r="D33" s="93"/>
      <c r="E33" s="32"/>
      <c r="F33" s="31"/>
      <c r="G33" s="33"/>
      <c r="H33" s="33"/>
      <c r="I33" s="34"/>
      <c r="J33" s="23"/>
      <c r="K33" s="27">
        <f t="shared" si="0"/>
        <v>0</v>
      </c>
      <c r="L33" s="27">
        <f t="shared" si="1"/>
        <v>0</v>
      </c>
      <c r="M33" s="27">
        <f>Table43[[#This Row],[AMOUNT]]-Table43[[#This Row],[Column1]]</f>
        <v>0</v>
      </c>
      <c r="N33" s="27">
        <f>Table43[[#This Row],[Column3]]-Table43[[#This Row],[Column2]]</f>
        <v>0</v>
      </c>
      <c r="O33" s="27">
        <f>Table43[[#This Row],[Column4]]+Table43[[#This Row],[Column1]]</f>
        <v>0</v>
      </c>
      <c r="P33" s="27">
        <f>Table43[[#This Row],[Column5]]+Table43[[#This Row],[Column2]]</f>
        <v>0</v>
      </c>
      <c r="Q33" s="27">
        <f>Table43[[#This Row],[Column6]]-Table43[[#This Row],[AMOUNT]]</f>
        <v>0</v>
      </c>
      <c r="R33" s="10"/>
    </row>
    <row r="34" spans="1:20" ht="17.100000000000001" customHeight="1" x14ac:dyDescent="0.2">
      <c r="A34" s="11"/>
      <c r="C34" s="12"/>
      <c r="D34" s="93"/>
      <c r="E34" s="32"/>
      <c r="F34" s="31"/>
      <c r="G34" s="33"/>
      <c r="H34" s="33"/>
      <c r="I34" s="34"/>
      <c r="J34" s="23"/>
      <c r="K34" s="27">
        <f t="shared" si="0"/>
        <v>0</v>
      </c>
      <c r="L34" s="27">
        <f t="shared" si="1"/>
        <v>0</v>
      </c>
      <c r="M34" s="27">
        <f>Table43[[#This Row],[AMOUNT]]-Table43[[#This Row],[Column1]]</f>
        <v>0</v>
      </c>
      <c r="N34" s="27">
        <f>Table43[[#This Row],[Column3]]-Table43[[#This Row],[Column2]]</f>
        <v>0</v>
      </c>
      <c r="O34" s="27">
        <f>Table43[[#This Row],[Column4]]+Table43[[#This Row],[Column1]]</f>
        <v>0</v>
      </c>
      <c r="P34" s="27">
        <f>Table43[[#This Row],[Column5]]+Table43[[#This Row],[Column2]]</f>
        <v>0</v>
      </c>
      <c r="Q34" s="27">
        <f>Table43[[#This Row],[Column6]]-Table43[[#This Row],[AMOUNT]]</f>
        <v>0</v>
      </c>
      <c r="R34" s="10"/>
    </row>
    <row r="35" spans="1:20" ht="17.100000000000001" customHeight="1" x14ac:dyDescent="0.2">
      <c r="A35" s="11"/>
      <c r="C35" s="12"/>
      <c r="D35" s="93"/>
      <c r="E35" s="32"/>
      <c r="F35" s="31"/>
      <c r="G35" s="33"/>
      <c r="H35" s="33"/>
      <c r="I35" s="34"/>
      <c r="J35" s="23"/>
      <c r="K35" s="27">
        <f t="shared" si="0"/>
        <v>0</v>
      </c>
      <c r="L35" s="27">
        <f t="shared" si="1"/>
        <v>0</v>
      </c>
      <c r="M35" s="27">
        <f>Table43[[#This Row],[AMOUNT]]-Table43[[#This Row],[Column1]]</f>
        <v>0</v>
      </c>
      <c r="N35" s="27">
        <f>Table43[[#This Row],[Column3]]-Table43[[#This Row],[Column2]]</f>
        <v>0</v>
      </c>
      <c r="O35" s="27">
        <f>Table43[[#This Row],[Column4]]+Table43[[#This Row],[Column1]]</f>
        <v>0</v>
      </c>
      <c r="P35" s="27">
        <f>Table43[[#This Row],[Column5]]+Table43[[#This Row],[Column2]]</f>
        <v>0</v>
      </c>
      <c r="Q35" s="27">
        <f>Table43[[#This Row],[Column6]]-Table43[[#This Row],[AMOUNT]]</f>
        <v>0</v>
      </c>
      <c r="R35" s="10"/>
      <c r="T35" s="4">
        <f>245*12*5</f>
        <v>14700</v>
      </c>
    </row>
    <row r="36" spans="1:20" ht="17.100000000000001" customHeight="1" x14ac:dyDescent="0.2">
      <c r="A36" s="11"/>
      <c r="C36" s="12"/>
      <c r="D36" s="93"/>
      <c r="E36" s="32"/>
      <c r="F36" s="31"/>
      <c r="G36" s="33"/>
      <c r="H36" s="33"/>
      <c r="I36" s="34"/>
      <c r="J36" s="23"/>
      <c r="K36" s="27">
        <f t="shared" si="0"/>
        <v>0</v>
      </c>
      <c r="L36" s="27">
        <f t="shared" si="1"/>
        <v>0</v>
      </c>
      <c r="M36" s="27">
        <f>Table43[[#This Row],[AMOUNT]]-Table43[[#This Row],[Column1]]</f>
        <v>0</v>
      </c>
      <c r="N36" s="27">
        <f>Table43[[#This Row],[Column3]]-Table43[[#This Row],[Column2]]</f>
        <v>0</v>
      </c>
      <c r="O36" s="27">
        <f>Table43[[#This Row],[Column4]]+Table43[[#This Row],[Column1]]</f>
        <v>0</v>
      </c>
      <c r="P36" s="27">
        <f>Table43[[#This Row],[Column5]]+Table43[[#This Row],[Column2]]</f>
        <v>0</v>
      </c>
      <c r="Q36" s="27">
        <f>Table43[[#This Row],[Column6]]-Table43[[#This Row],[AMOUNT]]</f>
        <v>0</v>
      </c>
      <c r="R36" s="10"/>
    </row>
    <row r="37" spans="1:20" ht="17.100000000000001" customHeight="1" x14ac:dyDescent="0.2">
      <c r="A37" s="11"/>
      <c r="C37" s="12"/>
      <c r="D37" s="93"/>
      <c r="E37" s="32"/>
      <c r="F37" s="31"/>
      <c r="G37" s="33"/>
      <c r="H37" s="33"/>
      <c r="I37" s="34"/>
      <c r="J37" s="23"/>
      <c r="K37" s="27">
        <f t="shared" si="0"/>
        <v>0</v>
      </c>
      <c r="L37" s="27">
        <f t="shared" si="1"/>
        <v>0</v>
      </c>
      <c r="M37" s="27">
        <f>Table43[[#This Row],[AMOUNT]]-Table43[[#This Row],[Column1]]</f>
        <v>0</v>
      </c>
      <c r="N37" s="27">
        <f>Table43[[#This Row],[Column3]]-Table43[[#This Row],[Column2]]</f>
        <v>0</v>
      </c>
      <c r="O37" s="27">
        <f>Table43[[#This Row],[Column4]]+Table43[[#This Row],[Column1]]</f>
        <v>0</v>
      </c>
      <c r="P37" s="27">
        <f>Table43[[#This Row],[Column5]]+Table43[[#This Row],[Column2]]</f>
        <v>0</v>
      </c>
      <c r="Q37" s="27">
        <f>Table43[[#This Row],[Column6]]-Table43[[#This Row],[AMOUNT]]</f>
        <v>0</v>
      </c>
      <c r="R37" s="10"/>
    </row>
    <row r="38" spans="1:20" ht="17.100000000000001" customHeight="1" x14ac:dyDescent="0.2">
      <c r="A38" s="11"/>
      <c r="C38" s="12"/>
      <c r="D38" s="93"/>
      <c r="E38" s="32"/>
      <c r="F38" s="31"/>
      <c r="G38" s="33"/>
      <c r="H38" s="33"/>
      <c r="I38" s="34"/>
      <c r="J38" s="23"/>
      <c r="K38" s="27">
        <f t="shared" si="0"/>
        <v>0</v>
      </c>
      <c r="L38" s="27">
        <f t="shared" si="1"/>
        <v>0</v>
      </c>
      <c r="M38" s="27">
        <f>Table43[[#This Row],[AMOUNT]]-Table43[[#This Row],[Column1]]</f>
        <v>0</v>
      </c>
      <c r="N38" s="27">
        <f>Table43[[#This Row],[Column3]]-Table43[[#This Row],[Column2]]</f>
        <v>0</v>
      </c>
      <c r="O38" s="27">
        <f>Table43[[#This Row],[Column4]]+Table43[[#This Row],[Column1]]</f>
        <v>0</v>
      </c>
      <c r="P38" s="27">
        <f>Table43[[#This Row],[Column5]]+Table43[[#This Row],[Column2]]</f>
        <v>0</v>
      </c>
      <c r="Q38" s="27">
        <f>Table43[[#This Row],[Column6]]-Table43[[#This Row],[AMOUNT]]</f>
        <v>0</v>
      </c>
      <c r="R38" s="10"/>
    </row>
    <row r="39" spans="1:20" ht="17.100000000000001" customHeight="1" x14ac:dyDescent="0.2">
      <c r="A39" s="11"/>
      <c r="C39" s="12"/>
      <c r="D39" s="93"/>
      <c r="E39" s="32"/>
      <c r="F39" s="31"/>
      <c r="G39" s="33"/>
      <c r="H39" s="33"/>
      <c r="I39" s="34"/>
      <c r="J39" s="23"/>
      <c r="K39" s="27">
        <f t="shared" si="0"/>
        <v>0</v>
      </c>
      <c r="L39" s="27">
        <f t="shared" si="1"/>
        <v>0</v>
      </c>
      <c r="M39" s="27">
        <f>Table43[[#This Row],[AMOUNT]]-Table43[[#This Row],[Column1]]</f>
        <v>0</v>
      </c>
      <c r="N39" s="27">
        <f>Table43[[#This Row],[Column3]]-Table43[[#This Row],[Column2]]</f>
        <v>0</v>
      </c>
      <c r="O39" s="27">
        <f>Table43[[#This Row],[Column4]]+Table43[[#This Row],[Column1]]</f>
        <v>0</v>
      </c>
      <c r="P39" s="27">
        <f>Table43[[#This Row],[Column5]]+Table43[[#This Row],[Column2]]</f>
        <v>0</v>
      </c>
      <c r="Q39" s="27">
        <f>Table43[[#This Row],[Column6]]-Table43[[#This Row],[AMOUNT]]</f>
        <v>0</v>
      </c>
      <c r="R39" s="10"/>
    </row>
    <row r="40" spans="1:20" ht="17.100000000000001" customHeight="1" x14ac:dyDescent="0.2">
      <c r="A40" s="11"/>
      <c r="C40" s="12"/>
      <c r="D40" s="93"/>
      <c r="E40" s="32"/>
      <c r="F40" s="31"/>
      <c r="G40" s="33"/>
      <c r="H40" s="33"/>
      <c r="I40" s="34"/>
      <c r="J40" s="23"/>
      <c r="K40" s="27">
        <f t="shared" ref="K40:K71" si="2">I40/1.12</f>
        <v>0</v>
      </c>
      <c r="L40" s="27">
        <f t="shared" ref="L40:L71" si="3">K40*0.01</f>
        <v>0</v>
      </c>
      <c r="M40" s="27">
        <f>Table43[[#This Row],[AMOUNT]]-Table43[[#This Row],[Column1]]</f>
        <v>0</v>
      </c>
      <c r="N40" s="27">
        <f>Table43[[#This Row],[Column3]]-Table43[[#This Row],[Column2]]</f>
        <v>0</v>
      </c>
      <c r="O40" s="27">
        <f>Table43[[#This Row],[Column4]]+Table43[[#This Row],[Column1]]</f>
        <v>0</v>
      </c>
      <c r="P40" s="27">
        <f>Table43[[#This Row],[Column5]]+Table43[[#This Row],[Column2]]</f>
        <v>0</v>
      </c>
      <c r="Q40" s="27">
        <f>Table43[[#This Row],[Column6]]-Table43[[#This Row],[AMOUNT]]</f>
        <v>0</v>
      </c>
      <c r="R40" s="10"/>
    </row>
    <row r="41" spans="1:20" ht="17.100000000000001" customHeight="1" x14ac:dyDescent="0.2">
      <c r="A41" s="11"/>
      <c r="C41" s="12"/>
      <c r="D41" s="93"/>
      <c r="E41" s="32"/>
      <c r="F41" s="31"/>
      <c r="G41" s="33"/>
      <c r="H41" s="33"/>
      <c r="I41" s="34"/>
      <c r="J41" s="23"/>
      <c r="K41" s="27">
        <f t="shared" si="2"/>
        <v>0</v>
      </c>
      <c r="L41" s="27">
        <f t="shared" si="3"/>
        <v>0</v>
      </c>
      <c r="M41" s="27">
        <f>Table43[[#This Row],[AMOUNT]]-Table43[[#This Row],[Column1]]</f>
        <v>0</v>
      </c>
      <c r="N41" s="27">
        <f>Table43[[#This Row],[Column3]]-Table43[[#This Row],[Column2]]</f>
        <v>0</v>
      </c>
      <c r="O41" s="27">
        <f>Table43[[#This Row],[Column4]]+Table43[[#This Row],[Column1]]</f>
        <v>0</v>
      </c>
      <c r="P41" s="27">
        <f>Table43[[#This Row],[Column5]]+Table43[[#This Row],[Column2]]</f>
        <v>0</v>
      </c>
      <c r="Q41" s="27">
        <f>Table43[[#This Row],[Column6]]-Table43[[#This Row],[AMOUNT]]</f>
        <v>0</v>
      </c>
      <c r="R41" s="10"/>
    </row>
    <row r="42" spans="1:20" ht="17.100000000000001" customHeight="1" x14ac:dyDescent="0.2">
      <c r="A42" s="11"/>
      <c r="C42" s="12"/>
      <c r="D42" s="93"/>
      <c r="E42" s="32"/>
      <c r="F42" s="31"/>
      <c r="G42" s="33"/>
      <c r="H42" s="33"/>
      <c r="I42" s="34"/>
      <c r="J42" s="23"/>
      <c r="K42" s="27">
        <f t="shared" si="2"/>
        <v>0</v>
      </c>
      <c r="L42" s="27">
        <f t="shared" si="3"/>
        <v>0</v>
      </c>
      <c r="M42" s="27">
        <f>Table43[[#This Row],[AMOUNT]]-Table43[[#This Row],[Column1]]</f>
        <v>0</v>
      </c>
      <c r="N42" s="27">
        <f>Table43[[#This Row],[Column3]]-Table43[[#This Row],[Column2]]</f>
        <v>0</v>
      </c>
      <c r="O42" s="27">
        <f>Table43[[#This Row],[Column4]]+Table43[[#This Row],[Column1]]</f>
        <v>0</v>
      </c>
      <c r="P42" s="27">
        <f>Table43[[#This Row],[Column5]]+Table43[[#This Row],[Column2]]</f>
        <v>0</v>
      </c>
      <c r="Q42" s="27">
        <f>Table43[[#This Row],[Column6]]-Table43[[#This Row],[AMOUNT]]</f>
        <v>0</v>
      </c>
      <c r="R42" s="10"/>
    </row>
    <row r="43" spans="1:20" ht="17.100000000000001" customHeight="1" x14ac:dyDescent="0.2">
      <c r="A43" s="11"/>
      <c r="C43" s="12"/>
      <c r="D43" s="93"/>
      <c r="E43" s="32"/>
      <c r="F43" s="31"/>
      <c r="G43" s="33"/>
      <c r="H43" s="33"/>
      <c r="I43" s="34"/>
      <c r="J43" s="23"/>
      <c r="K43" s="27">
        <f t="shared" si="2"/>
        <v>0</v>
      </c>
      <c r="L43" s="27">
        <f t="shared" si="3"/>
        <v>0</v>
      </c>
      <c r="M43" s="27">
        <f>Table43[[#This Row],[AMOUNT]]-Table43[[#This Row],[Column1]]</f>
        <v>0</v>
      </c>
      <c r="N43" s="27">
        <f>Table43[[#This Row],[Column3]]-Table43[[#This Row],[Column2]]</f>
        <v>0</v>
      </c>
      <c r="O43" s="27">
        <f>Table43[[#This Row],[Column4]]+Table43[[#This Row],[Column1]]</f>
        <v>0</v>
      </c>
      <c r="P43" s="27">
        <f>Table43[[#This Row],[Column5]]+Table43[[#This Row],[Column2]]</f>
        <v>0</v>
      </c>
      <c r="Q43" s="27">
        <f>Table43[[#This Row],[Column6]]-Table43[[#This Row],[AMOUNT]]</f>
        <v>0</v>
      </c>
      <c r="R43" s="10"/>
    </row>
    <row r="44" spans="1:20" ht="17.100000000000001" customHeight="1" x14ac:dyDescent="0.2">
      <c r="A44" s="11"/>
      <c r="C44" s="12"/>
      <c r="D44" s="93"/>
      <c r="E44" s="32"/>
      <c r="F44" s="31"/>
      <c r="G44" s="33"/>
      <c r="H44" s="33"/>
      <c r="I44" s="34"/>
      <c r="J44" s="23"/>
      <c r="K44" s="27">
        <f t="shared" si="2"/>
        <v>0</v>
      </c>
      <c r="L44" s="27">
        <f t="shared" si="3"/>
        <v>0</v>
      </c>
      <c r="M44" s="27">
        <f>Table43[[#This Row],[AMOUNT]]-Table43[[#This Row],[Column1]]</f>
        <v>0</v>
      </c>
      <c r="N44" s="27">
        <f>Table43[[#This Row],[Column3]]-Table43[[#This Row],[Column2]]</f>
        <v>0</v>
      </c>
      <c r="O44" s="27">
        <f>Table43[[#This Row],[Column4]]+Table43[[#This Row],[Column1]]</f>
        <v>0</v>
      </c>
      <c r="P44" s="27">
        <f>Table43[[#This Row],[Column5]]+Table43[[#This Row],[Column2]]</f>
        <v>0</v>
      </c>
      <c r="Q44" s="27">
        <f>Table43[[#This Row],[Column6]]-Table43[[#This Row],[AMOUNT]]</f>
        <v>0</v>
      </c>
      <c r="R44" s="10"/>
    </row>
    <row r="45" spans="1:20" ht="17.100000000000001" customHeight="1" x14ac:dyDescent="0.2">
      <c r="A45" s="11"/>
      <c r="C45" s="12"/>
      <c r="D45" s="93"/>
      <c r="E45" s="32"/>
      <c r="F45" s="31"/>
      <c r="G45" s="33"/>
      <c r="H45" s="33"/>
      <c r="I45" s="34"/>
      <c r="J45" s="23"/>
      <c r="K45" s="27">
        <f t="shared" si="2"/>
        <v>0</v>
      </c>
      <c r="L45" s="27">
        <f t="shared" si="3"/>
        <v>0</v>
      </c>
      <c r="M45" s="27">
        <f>Table43[[#This Row],[AMOUNT]]-Table43[[#This Row],[Column1]]</f>
        <v>0</v>
      </c>
      <c r="N45" s="27">
        <f>Table43[[#This Row],[Column3]]-Table43[[#This Row],[Column2]]</f>
        <v>0</v>
      </c>
      <c r="O45" s="27">
        <f>Table43[[#This Row],[Column4]]+Table43[[#This Row],[Column1]]</f>
        <v>0</v>
      </c>
      <c r="P45" s="27">
        <f>Table43[[#This Row],[Column5]]+Table43[[#This Row],[Column2]]</f>
        <v>0</v>
      </c>
      <c r="Q45" s="27">
        <f>Table43[[#This Row],[Column6]]-Table43[[#This Row],[AMOUNT]]</f>
        <v>0</v>
      </c>
      <c r="R45" s="10"/>
    </row>
    <row r="46" spans="1:20" ht="17.100000000000001" customHeight="1" x14ac:dyDescent="0.2">
      <c r="A46" s="11"/>
      <c r="C46" s="12"/>
      <c r="D46" s="93"/>
      <c r="E46" s="32"/>
      <c r="F46" s="31"/>
      <c r="G46" s="33"/>
      <c r="H46" s="33"/>
      <c r="I46" s="34"/>
      <c r="J46" s="23"/>
      <c r="K46" s="27">
        <f t="shared" si="2"/>
        <v>0</v>
      </c>
      <c r="L46" s="27">
        <f t="shared" si="3"/>
        <v>0</v>
      </c>
      <c r="M46" s="27">
        <f>Table43[[#This Row],[AMOUNT]]-Table43[[#This Row],[Column1]]</f>
        <v>0</v>
      </c>
      <c r="N46" s="27">
        <f>Table43[[#This Row],[Column3]]-Table43[[#This Row],[Column2]]</f>
        <v>0</v>
      </c>
      <c r="O46" s="27">
        <f>Table43[[#This Row],[Column4]]+Table43[[#This Row],[Column1]]</f>
        <v>0</v>
      </c>
      <c r="P46" s="27">
        <f>Table43[[#This Row],[Column5]]+Table43[[#This Row],[Column2]]</f>
        <v>0</v>
      </c>
      <c r="Q46" s="27">
        <f>Table43[[#This Row],[Column6]]-Table43[[#This Row],[AMOUNT]]</f>
        <v>0</v>
      </c>
      <c r="R46" s="10"/>
    </row>
    <row r="47" spans="1:20" ht="17.100000000000001" customHeight="1" x14ac:dyDescent="0.2">
      <c r="A47" s="11"/>
      <c r="C47" s="12"/>
      <c r="D47" s="93"/>
      <c r="E47" s="32"/>
      <c r="F47" s="31"/>
      <c r="G47" s="33"/>
      <c r="H47" s="33"/>
      <c r="I47" s="34"/>
      <c r="J47" s="23"/>
      <c r="K47" s="27">
        <f t="shared" si="2"/>
        <v>0</v>
      </c>
      <c r="L47" s="27">
        <f t="shared" si="3"/>
        <v>0</v>
      </c>
      <c r="M47" s="27">
        <f>Table43[[#This Row],[AMOUNT]]-Table43[[#This Row],[Column1]]</f>
        <v>0</v>
      </c>
      <c r="N47" s="27">
        <f>Table43[[#This Row],[Column3]]-Table43[[#This Row],[Column2]]</f>
        <v>0</v>
      </c>
      <c r="O47" s="27">
        <f>Table43[[#This Row],[Column4]]+Table43[[#This Row],[Column1]]</f>
        <v>0</v>
      </c>
      <c r="P47" s="27">
        <f>Table43[[#This Row],[Column5]]+Table43[[#This Row],[Column2]]</f>
        <v>0</v>
      </c>
      <c r="Q47" s="27">
        <f>Table43[[#This Row],[Column6]]-Table43[[#This Row],[AMOUNT]]</f>
        <v>0</v>
      </c>
      <c r="R47" s="10"/>
    </row>
    <row r="48" spans="1:20" ht="17.100000000000001" customHeight="1" x14ac:dyDescent="0.2">
      <c r="A48" s="11"/>
      <c r="C48" s="12"/>
      <c r="D48" s="93"/>
      <c r="E48" s="32"/>
      <c r="F48" s="31"/>
      <c r="G48" s="33"/>
      <c r="H48" s="33"/>
      <c r="I48" s="34"/>
      <c r="J48" s="23"/>
      <c r="K48" s="27">
        <f t="shared" si="2"/>
        <v>0</v>
      </c>
      <c r="L48" s="27">
        <f t="shared" si="3"/>
        <v>0</v>
      </c>
      <c r="M48" s="27">
        <f>Table43[[#This Row],[AMOUNT]]-Table43[[#This Row],[Column1]]</f>
        <v>0</v>
      </c>
      <c r="N48" s="27">
        <f>Table43[[#This Row],[Column3]]-Table43[[#This Row],[Column2]]</f>
        <v>0</v>
      </c>
      <c r="O48" s="27">
        <f>Table43[[#This Row],[Column4]]+Table43[[#This Row],[Column1]]</f>
        <v>0</v>
      </c>
      <c r="P48" s="27">
        <f>Table43[[#This Row],[Column5]]+Table43[[#This Row],[Column2]]</f>
        <v>0</v>
      </c>
      <c r="Q48" s="27">
        <f>Table43[[#This Row],[Column6]]-Table43[[#This Row],[AMOUNT]]</f>
        <v>0</v>
      </c>
      <c r="R48" s="10"/>
    </row>
    <row r="49" spans="1:18" ht="17.100000000000001" customHeight="1" x14ac:dyDescent="0.2">
      <c r="A49" s="11"/>
      <c r="C49" s="12"/>
      <c r="D49" s="93"/>
      <c r="E49" s="32"/>
      <c r="F49" s="31"/>
      <c r="G49" s="33"/>
      <c r="H49" s="33"/>
      <c r="I49" s="34"/>
      <c r="J49" s="23"/>
      <c r="K49" s="27">
        <f t="shared" si="2"/>
        <v>0</v>
      </c>
      <c r="L49" s="27">
        <f t="shared" si="3"/>
        <v>0</v>
      </c>
      <c r="M49" s="27">
        <f>Table43[[#This Row],[AMOUNT]]-Table43[[#This Row],[Column1]]</f>
        <v>0</v>
      </c>
      <c r="N49" s="27">
        <f>Table43[[#This Row],[Column3]]-Table43[[#This Row],[Column2]]</f>
        <v>0</v>
      </c>
      <c r="O49" s="27">
        <f>Table43[[#This Row],[Column4]]+Table43[[#This Row],[Column1]]</f>
        <v>0</v>
      </c>
      <c r="P49" s="27">
        <f>Table43[[#This Row],[Column5]]+Table43[[#This Row],[Column2]]</f>
        <v>0</v>
      </c>
      <c r="Q49" s="27">
        <f>Table43[[#This Row],[Column6]]-Table43[[#This Row],[AMOUNT]]</f>
        <v>0</v>
      </c>
      <c r="R49" s="10"/>
    </row>
    <row r="50" spans="1:18" ht="17.100000000000001" customHeight="1" x14ac:dyDescent="0.2">
      <c r="A50" s="11"/>
      <c r="C50" s="12"/>
      <c r="D50" s="93"/>
      <c r="E50" s="32"/>
      <c r="F50" s="31"/>
      <c r="G50" s="33"/>
      <c r="H50" s="33"/>
      <c r="I50" s="34"/>
      <c r="J50" s="23"/>
      <c r="K50" s="27">
        <f t="shared" si="2"/>
        <v>0</v>
      </c>
      <c r="L50" s="27">
        <f t="shared" si="3"/>
        <v>0</v>
      </c>
      <c r="M50" s="27">
        <f>Table43[[#This Row],[AMOUNT]]-Table43[[#This Row],[Column1]]</f>
        <v>0</v>
      </c>
      <c r="N50" s="27">
        <f>Table43[[#This Row],[Column3]]-Table43[[#This Row],[Column2]]</f>
        <v>0</v>
      </c>
      <c r="O50" s="27">
        <f>Table43[[#This Row],[Column4]]+Table43[[#This Row],[Column1]]</f>
        <v>0</v>
      </c>
      <c r="P50" s="27">
        <f>Table43[[#This Row],[Column5]]+Table43[[#This Row],[Column2]]</f>
        <v>0</v>
      </c>
      <c r="Q50" s="27">
        <f>Table43[[#This Row],[Column6]]-Table43[[#This Row],[AMOUNT]]</f>
        <v>0</v>
      </c>
      <c r="R50" s="10"/>
    </row>
    <row r="51" spans="1:18" ht="17.100000000000001" customHeight="1" x14ac:dyDescent="0.2">
      <c r="A51" s="11"/>
      <c r="C51" s="12"/>
      <c r="D51" s="93"/>
      <c r="E51" s="32"/>
      <c r="F51" s="31"/>
      <c r="G51" s="33"/>
      <c r="H51" s="33"/>
      <c r="I51" s="34"/>
      <c r="J51" s="23"/>
      <c r="K51" s="27">
        <f t="shared" si="2"/>
        <v>0</v>
      </c>
      <c r="L51" s="27">
        <f t="shared" si="3"/>
        <v>0</v>
      </c>
      <c r="M51" s="27">
        <f>Table43[[#This Row],[AMOUNT]]-Table43[[#This Row],[Column1]]</f>
        <v>0</v>
      </c>
      <c r="N51" s="27">
        <f>Table43[[#This Row],[Column3]]-Table43[[#This Row],[Column2]]</f>
        <v>0</v>
      </c>
      <c r="O51" s="27">
        <f>Table43[[#This Row],[Column4]]+Table43[[#This Row],[Column1]]</f>
        <v>0</v>
      </c>
      <c r="P51" s="27">
        <f>Table43[[#This Row],[Column5]]+Table43[[#This Row],[Column2]]</f>
        <v>0</v>
      </c>
      <c r="Q51" s="27">
        <f>Table43[[#This Row],[Column6]]-Table43[[#This Row],[AMOUNT]]</f>
        <v>0</v>
      </c>
      <c r="R51" s="10"/>
    </row>
    <row r="52" spans="1:18" ht="17.100000000000001" customHeight="1" x14ac:dyDescent="0.2">
      <c r="A52" s="11"/>
      <c r="C52" s="12"/>
      <c r="D52" s="93"/>
      <c r="E52" s="32"/>
      <c r="F52" s="31"/>
      <c r="G52" s="33"/>
      <c r="H52" s="33"/>
      <c r="I52" s="34"/>
      <c r="J52" s="23"/>
      <c r="K52" s="27">
        <f t="shared" si="2"/>
        <v>0</v>
      </c>
      <c r="L52" s="27">
        <f t="shared" si="3"/>
        <v>0</v>
      </c>
      <c r="M52" s="27">
        <f>Table43[[#This Row],[AMOUNT]]-Table43[[#This Row],[Column1]]</f>
        <v>0</v>
      </c>
      <c r="N52" s="27">
        <f>Table43[[#This Row],[Column3]]-Table43[[#This Row],[Column2]]</f>
        <v>0</v>
      </c>
      <c r="O52" s="27">
        <f>Table43[[#This Row],[Column4]]+Table43[[#This Row],[Column1]]</f>
        <v>0</v>
      </c>
      <c r="P52" s="27">
        <f>Table43[[#This Row],[Column5]]+Table43[[#This Row],[Column2]]</f>
        <v>0</v>
      </c>
      <c r="Q52" s="27">
        <f>Table43[[#This Row],[Column6]]-Table43[[#This Row],[AMOUNT]]</f>
        <v>0</v>
      </c>
      <c r="R52" s="10"/>
    </row>
    <row r="53" spans="1:18" ht="17.100000000000001" customHeight="1" x14ac:dyDescent="0.2">
      <c r="A53" s="11"/>
      <c r="C53" s="12"/>
      <c r="D53" s="93"/>
      <c r="E53" s="32"/>
      <c r="F53" s="31"/>
      <c r="G53" s="33"/>
      <c r="H53" s="33"/>
      <c r="I53" s="34"/>
      <c r="J53" s="23"/>
      <c r="K53" s="27">
        <f t="shared" si="2"/>
        <v>0</v>
      </c>
      <c r="L53" s="27">
        <f t="shared" si="3"/>
        <v>0</v>
      </c>
      <c r="M53" s="27">
        <f>Table43[[#This Row],[AMOUNT]]-Table43[[#This Row],[Column1]]</f>
        <v>0</v>
      </c>
      <c r="N53" s="27">
        <f>Table43[[#This Row],[Column3]]-Table43[[#This Row],[Column2]]</f>
        <v>0</v>
      </c>
      <c r="O53" s="27">
        <f>Table43[[#This Row],[Column4]]+Table43[[#This Row],[Column1]]</f>
        <v>0</v>
      </c>
      <c r="P53" s="27">
        <f>Table43[[#This Row],[Column5]]+Table43[[#This Row],[Column2]]</f>
        <v>0</v>
      </c>
      <c r="Q53" s="27">
        <f>Table43[[#This Row],[Column6]]-Table43[[#This Row],[AMOUNT]]</f>
        <v>0</v>
      </c>
      <c r="R53" s="10"/>
    </row>
    <row r="54" spans="1:18" ht="17.100000000000001" customHeight="1" x14ac:dyDescent="0.2">
      <c r="A54" s="11"/>
      <c r="C54" s="12"/>
      <c r="D54" s="93"/>
      <c r="E54" s="32"/>
      <c r="F54" s="31"/>
      <c r="G54" s="33"/>
      <c r="H54" s="33"/>
      <c r="I54" s="34"/>
      <c r="J54" s="23"/>
      <c r="K54" s="27">
        <f t="shared" si="2"/>
        <v>0</v>
      </c>
      <c r="L54" s="27">
        <f t="shared" si="3"/>
        <v>0</v>
      </c>
      <c r="M54" s="27">
        <f>Table43[[#This Row],[AMOUNT]]-Table43[[#This Row],[Column1]]</f>
        <v>0</v>
      </c>
      <c r="N54" s="27">
        <f>Table43[[#This Row],[Column3]]-Table43[[#This Row],[Column2]]</f>
        <v>0</v>
      </c>
      <c r="O54" s="27">
        <f>Table43[[#This Row],[Column4]]+Table43[[#This Row],[Column1]]</f>
        <v>0</v>
      </c>
      <c r="P54" s="27">
        <f>Table43[[#This Row],[Column5]]+Table43[[#This Row],[Column2]]</f>
        <v>0</v>
      </c>
      <c r="Q54" s="27">
        <f>Table43[[#This Row],[Column6]]-Table43[[#This Row],[AMOUNT]]</f>
        <v>0</v>
      </c>
      <c r="R54" s="10"/>
    </row>
    <row r="55" spans="1:18" ht="17.100000000000001" customHeight="1" x14ac:dyDescent="0.2">
      <c r="A55" s="11"/>
      <c r="C55" s="12"/>
      <c r="D55" s="93"/>
      <c r="E55" s="32"/>
      <c r="F55" s="31"/>
      <c r="G55" s="33"/>
      <c r="H55" s="33"/>
      <c r="I55" s="34"/>
      <c r="J55" s="23"/>
      <c r="K55" s="27">
        <f t="shared" si="2"/>
        <v>0</v>
      </c>
      <c r="L55" s="27">
        <f t="shared" si="3"/>
        <v>0</v>
      </c>
      <c r="M55" s="27">
        <f>Table43[[#This Row],[AMOUNT]]-Table43[[#This Row],[Column1]]</f>
        <v>0</v>
      </c>
      <c r="N55" s="27">
        <f>Table43[[#This Row],[Column3]]-Table43[[#This Row],[Column2]]</f>
        <v>0</v>
      </c>
      <c r="O55" s="27">
        <f>Table43[[#This Row],[Column4]]+Table43[[#This Row],[Column1]]</f>
        <v>0</v>
      </c>
      <c r="P55" s="27">
        <f>Table43[[#This Row],[Column5]]+Table43[[#This Row],[Column2]]</f>
        <v>0</v>
      </c>
      <c r="Q55" s="27">
        <f>Table43[[#This Row],[Column6]]-Table43[[#This Row],[AMOUNT]]</f>
        <v>0</v>
      </c>
      <c r="R55" s="10"/>
    </row>
    <row r="56" spans="1:18" ht="17.100000000000001" customHeight="1" x14ac:dyDescent="0.2">
      <c r="A56" s="11"/>
      <c r="C56" s="12"/>
      <c r="D56" s="93"/>
      <c r="E56" s="32"/>
      <c r="F56" s="31"/>
      <c r="G56" s="33"/>
      <c r="H56" s="33"/>
      <c r="I56" s="34"/>
      <c r="J56" s="23"/>
      <c r="K56" s="27">
        <f t="shared" si="2"/>
        <v>0</v>
      </c>
      <c r="L56" s="27">
        <f t="shared" si="3"/>
        <v>0</v>
      </c>
      <c r="M56" s="27">
        <f>Table43[[#This Row],[AMOUNT]]-Table43[[#This Row],[Column1]]</f>
        <v>0</v>
      </c>
      <c r="N56" s="27">
        <f>Table43[[#This Row],[Column3]]-Table43[[#This Row],[Column2]]</f>
        <v>0</v>
      </c>
      <c r="O56" s="27">
        <f>Table43[[#This Row],[Column4]]+Table43[[#This Row],[Column1]]</f>
        <v>0</v>
      </c>
      <c r="P56" s="27">
        <f>Table43[[#This Row],[Column5]]+Table43[[#This Row],[Column2]]</f>
        <v>0</v>
      </c>
      <c r="Q56" s="27">
        <f>Table43[[#This Row],[Column6]]-Table43[[#This Row],[AMOUNT]]</f>
        <v>0</v>
      </c>
      <c r="R56" s="10"/>
    </row>
    <row r="57" spans="1:18" ht="17.100000000000001" customHeight="1" x14ac:dyDescent="0.2">
      <c r="A57" s="11"/>
      <c r="C57" s="12"/>
      <c r="D57" s="93"/>
      <c r="E57" s="32"/>
      <c r="F57" s="31"/>
      <c r="G57" s="33"/>
      <c r="H57" s="33"/>
      <c r="I57" s="34"/>
      <c r="J57" s="23"/>
      <c r="K57" s="27">
        <f t="shared" si="2"/>
        <v>0</v>
      </c>
      <c r="L57" s="27">
        <f t="shared" si="3"/>
        <v>0</v>
      </c>
      <c r="M57" s="27">
        <f>Table43[[#This Row],[AMOUNT]]-Table43[[#This Row],[Column1]]</f>
        <v>0</v>
      </c>
      <c r="N57" s="27">
        <f>Table43[[#This Row],[Column3]]-Table43[[#This Row],[Column2]]</f>
        <v>0</v>
      </c>
      <c r="O57" s="27">
        <f>Table43[[#This Row],[Column4]]+Table43[[#This Row],[Column1]]</f>
        <v>0</v>
      </c>
      <c r="P57" s="27">
        <f>Table43[[#This Row],[Column5]]+Table43[[#This Row],[Column2]]</f>
        <v>0</v>
      </c>
      <c r="Q57" s="27">
        <f>Table43[[#This Row],[Column6]]-Table43[[#This Row],[AMOUNT]]</f>
        <v>0</v>
      </c>
      <c r="R57" s="10"/>
    </row>
    <row r="58" spans="1:18" ht="17.100000000000001" customHeight="1" x14ac:dyDescent="0.2">
      <c r="A58" s="11"/>
      <c r="C58" s="12"/>
      <c r="D58" s="93"/>
      <c r="E58" s="32"/>
      <c r="F58" s="31"/>
      <c r="G58" s="33"/>
      <c r="H58" s="33"/>
      <c r="I58" s="34"/>
      <c r="J58" s="23"/>
      <c r="K58" s="27">
        <f t="shared" si="2"/>
        <v>0</v>
      </c>
      <c r="L58" s="27">
        <f t="shared" si="3"/>
        <v>0</v>
      </c>
      <c r="M58" s="27">
        <f>Table43[[#This Row],[AMOUNT]]-Table43[[#This Row],[Column1]]</f>
        <v>0</v>
      </c>
      <c r="N58" s="27">
        <f>Table43[[#This Row],[Column3]]-Table43[[#This Row],[Column2]]</f>
        <v>0</v>
      </c>
      <c r="O58" s="27">
        <f>Table43[[#This Row],[Column4]]+Table43[[#This Row],[Column1]]</f>
        <v>0</v>
      </c>
      <c r="P58" s="27">
        <f>Table43[[#This Row],[Column5]]+Table43[[#This Row],[Column2]]</f>
        <v>0</v>
      </c>
      <c r="Q58" s="27">
        <f>Table43[[#This Row],[Column6]]-Table43[[#This Row],[AMOUNT]]</f>
        <v>0</v>
      </c>
      <c r="R58" s="10"/>
    </row>
    <row r="59" spans="1:18" ht="17.100000000000001" customHeight="1" x14ac:dyDescent="0.2">
      <c r="A59" s="11"/>
      <c r="C59" s="12"/>
      <c r="D59" s="93"/>
      <c r="E59" s="32"/>
      <c r="F59" s="31"/>
      <c r="G59" s="33"/>
      <c r="H59" s="33"/>
      <c r="I59" s="34"/>
      <c r="J59" s="23"/>
      <c r="K59" s="27">
        <f t="shared" si="2"/>
        <v>0</v>
      </c>
      <c r="L59" s="27">
        <f t="shared" si="3"/>
        <v>0</v>
      </c>
      <c r="M59" s="27">
        <f>Table43[[#This Row],[AMOUNT]]-Table43[[#This Row],[Column1]]</f>
        <v>0</v>
      </c>
      <c r="N59" s="27">
        <f>Table43[[#This Row],[Column3]]-Table43[[#This Row],[Column2]]</f>
        <v>0</v>
      </c>
      <c r="O59" s="27">
        <f>Table43[[#This Row],[Column4]]+Table43[[#This Row],[Column1]]</f>
        <v>0</v>
      </c>
      <c r="P59" s="27">
        <f>Table43[[#This Row],[Column5]]+Table43[[#This Row],[Column2]]</f>
        <v>0</v>
      </c>
      <c r="Q59" s="27">
        <f>Table43[[#This Row],[Column6]]-Table43[[#This Row],[AMOUNT]]</f>
        <v>0</v>
      </c>
      <c r="R59" s="10"/>
    </row>
    <row r="60" spans="1:18" ht="17.100000000000001" customHeight="1" x14ac:dyDescent="0.2">
      <c r="A60" s="11"/>
      <c r="C60" s="12"/>
      <c r="D60" s="93"/>
      <c r="E60" s="32"/>
      <c r="F60" s="31"/>
      <c r="G60" s="33"/>
      <c r="H60" s="33"/>
      <c r="I60" s="34"/>
      <c r="J60" s="23"/>
      <c r="K60" s="27">
        <f t="shared" si="2"/>
        <v>0</v>
      </c>
      <c r="L60" s="27">
        <f t="shared" si="3"/>
        <v>0</v>
      </c>
      <c r="M60" s="27">
        <f>Table43[[#This Row],[AMOUNT]]-Table43[[#This Row],[Column1]]</f>
        <v>0</v>
      </c>
      <c r="N60" s="27">
        <f>Table43[[#This Row],[Column3]]-Table43[[#This Row],[Column2]]</f>
        <v>0</v>
      </c>
      <c r="O60" s="27">
        <f>Table43[[#This Row],[Column4]]+Table43[[#This Row],[Column1]]</f>
        <v>0</v>
      </c>
      <c r="P60" s="27">
        <f>Table43[[#This Row],[Column5]]+Table43[[#This Row],[Column2]]</f>
        <v>0</v>
      </c>
      <c r="Q60" s="27">
        <f>Table43[[#This Row],[Column6]]-Table43[[#This Row],[AMOUNT]]</f>
        <v>0</v>
      </c>
      <c r="R60" s="10"/>
    </row>
    <row r="61" spans="1:18" ht="17.100000000000001" customHeight="1" x14ac:dyDescent="0.2">
      <c r="A61" s="11"/>
      <c r="C61" s="12"/>
      <c r="D61" s="93"/>
      <c r="E61" s="32"/>
      <c r="F61" s="31"/>
      <c r="G61" s="33"/>
      <c r="H61" s="33"/>
      <c r="I61" s="34"/>
      <c r="J61" s="23"/>
      <c r="K61" s="27">
        <f t="shared" si="2"/>
        <v>0</v>
      </c>
      <c r="L61" s="27">
        <f t="shared" si="3"/>
        <v>0</v>
      </c>
      <c r="M61" s="27">
        <f>Table43[[#This Row],[AMOUNT]]-Table43[[#This Row],[Column1]]</f>
        <v>0</v>
      </c>
      <c r="N61" s="27">
        <f>Table43[[#This Row],[Column3]]-Table43[[#This Row],[Column2]]</f>
        <v>0</v>
      </c>
      <c r="O61" s="27">
        <f>Table43[[#This Row],[Column4]]+Table43[[#This Row],[Column1]]</f>
        <v>0</v>
      </c>
      <c r="P61" s="27">
        <f>Table43[[#This Row],[Column5]]+Table43[[#This Row],[Column2]]</f>
        <v>0</v>
      </c>
      <c r="Q61" s="27">
        <f>Table43[[#This Row],[Column6]]-Table43[[#This Row],[AMOUNT]]</f>
        <v>0</v>
      </c>
      <c r="R61" s="10"/>
    </row>
    <row r="62" spans="1:18" ht="17.100000000000001" customHeight="1" x14ac:dyDescent="0.2">
      <c r="A62" s="11"/>
      <c r="C62" s="12"/>
      <c r="D62" s="93"/>
      <c r="E62" s="32"/>
      <c r="F62" s="31"/>
      <c r="G62" s="33"/>
      <c r="H62" s="33"/>
      <c r="I62" s="34"/>
      <c r="J62" s="23"/>
      <c r="K62" s="27">
        <f t="shared" si="2"/>
        <v>0</v>
      </c>
      <c r="L62" s="27">
        <f t="shared" si="3"/>
        <v>0</v>
      </c>
      <c r="M62" s="27">
        <f>Table43[[#This Row],[AMOUNT]]-Table43[[#This Row],[Column1]]</f>
        <v>0</v>
      </c>
      <c r="N62" s="27">
        <f>Table43[[#This Row],[Column3]]-Table43[[#This Row],[Column2]]</f>
        <v>0</v>
      </c>
      <c r="O62" s="27">
        <f>Table43[[#This Row],[Column4]]+Table43[[#This Row],[Column1]]</f>
        <v>0</v>
      </c>
      <c r="P62" s="27">
        <f>Table43[[#This Row],[Column5]]+Table43[[#This Row],[Column2]]</f>
        <v>0</v>
      </c>
      <c r="Q62" s="27">
        <f>Table43[[#This Row],[Column6]]-Table43[[#This Row],[AMOUNT]]</f>
        <v>0</v>
      </c>
      <c r="R62" s="10"/>
    </row>
    <row r="63" spans="1:18" ht="17.100000000000001" customHeight="1" x14ac:dyDescent="0.2">
      <c r="A63" s="11"/>
      <c r="C63" s="12"/>
      <c r="D63" s="93"/>
      <c r="E63" s="32"/>
      <c r="F63" s="31"/>
      <c r="G63" s="33"/>
      <c r="H63" s="33"/>
      <c r="I63" s="34"/>
      <c r="J63" s="23"/>
      <c r="K63" s="27">
        <f t="shared" si="2"/>
        <v>0</v>
      </c>
      <c r="L63" s="27">
        <f t="shared" si="3"/>
        <v>0</v>
      </c>
      <c r="M63" s="27">
        <f>Table43[[#This Row],[AMOUNT]]-Table43[[#This Row],[Column1]]</f>
        <v>0</v>
      </c>
      <c r="N63" s="27">
        <f>Table43[[#This Row],[Column3]]-Table43[[#This Row],[Column2]]</f>
        <v>0</v>
      </c>
      <c r="O63" s="27">
        <f>Table43[[#This Row],[Column4]]+Table43[[#This Row],[Column1]]</f>
        <v>0</v>
      </c>
      <c r="P63" s="27">
        <f>Table43[[#This Row],[Column5]]+Table43[[#This Row],[Column2]]</f>
        <v>0</v>
      </c>
      <c r="Q63" s="27">
        <f>Table43[[#This Row],[Column6]]-Table43[[#This Row],[AMOUNT]]</f>
        <v>0</v>
      </c>
      <c r="R63" s="10"/>
    </row>
    <row r="64" spans="1:18" ht="17.100000000000001" customHeight="1" x14ac:dyDescent="0.2">
      <c r="A64" s="11"/>
      <c r="C64" s="12"/>
      <c r="D64" s="93"/>
      <c r="E64" s="32"/>
      <c r="F64" s="31"/>
      <c r="G64" s="33"/>
      <c r="H64" s="33"/>
      <c r="I64" s="34"/>
      <c r="J64" s="23"/>
      <c r="K64" s="27">
        <f t="shared" si="2"/>
        <v>0</v>
      </c>
      <c r="L64" s="27">
        <f t="shared" si="3"/>
        <v>0</v>
      </c>
      <c r="M64" s="27">
        <f>Table43[[#This Row],[AMOUNT]]-Table43[[#This Row],[Column1]]</f>
        <v>0</v>
      </c>
      <c r="N64" s="27">
        <f>Table43[[#This Row],[Column3]]-Table43[[#This Row],[Column2]]</f>
        <v>0</v>
      </c>
      <c r="O64" s="27">
        <f>Table43[[#This Row],[Column4]]+Table43[[#This Row],[Column1]]</f>
        <v>0</v>
      </c>
      <c r="P64" s="27">
        <f>Table43[[#This Row],[Column5]]+Table43[[#This Row],[Column2]]</f>
        <v>0</v>
      </c>
      <c r="Q64" s="27">
        <f>Table43[[#This Row],[Column6]]-Table43[[#This Row],[AMOUNT]]</f>
        <v>0</v>
      </c>
      <c r="R64" s="10"/>
    </row>
    <row r="65" spans="1:18" ht="17.100000000000001" customHeight="1" x14ac:dyDescent="0.2">
      <c r="A65" s="11"/>
      <c r="C65" s="12"/>
      <c r="D65" s="93"/>
      <c r="E65" s="32"/>
      <c r="F65" s="31"/>
      <c r="G65" s="33"/>
      <c r="H65" s="33"/>
      <c r="I65" s="34"/>
      <c r="J65" s="23"/>
      <c r="K65" s="27">
        <f t="shared" si="2"/>
        <v>0</v>
      </c>
      <c r="L65" s="27">
        <f t="shared" si="3"/>
        <v>0</v>
      </c>
      <c r="M65" s="27">
        <f>Table43[[#This Row],[AMOUNT]]-Table43[[#This Row],[Column1]]</f>
        <v>0</v>
      </c>
      <c r="N65" s="27">
        <f>Table43[[#This Row],[Column3]]-Table43[[#This Row],[Column2]]</f>
        <v>0</v>
      </c>
      <c r="O65" s="27">
        <f>Table43[[#This Row],[Column4]]+Table43[[#This Row],[Column1]]</f>
        <v>0</v>
      </c>
      <c r="P65" s="27">
        <f>Table43[[#This Row],[Column5]]+Table43[[#This Row],[Column2]]</f>
        <v>0</v>
      </c>
      <c r="Q65" s="27">
        <f>Table43[[#This Row],[Column6]]-Table43[[#This Row],[AMOUNT]]</f>
        <v>0</v>
      </c>
      <c r="R65" s="10"/>
    </row>
    <row r="66" spans="1:18" ht="17.100000000000001" customHeight="1" x14ac:dyDescent="0.2">
      <c r="A66" s="11"/>
      <c r="C66" s="12"/>
      <c r="D66" s="93"/>
      <c r="E66" s="32"/>
      <c r="F66" s="31"/>
      <c r="G66" s="33"/>
      <c r="H66" s="33"/>
      <c r="I66" s="34"/>
      <c r="J66" s="23"/>
      <c r="K66" s="27">
        <f t="shared" si="2"/>
        <v>0</v>
      </c>
      <c r="L66" s="27">
        <f t="shared" si="3"/>
        <v>0</v>
      </c>
      <c r="M66" s="27">
        <f>Table43[[#This Row],[AMOUNT]]-Table43[[#This Row],[Column1]]</f>
        <v>0</v>
      </c>
      <c r="N66" s="27">
        <f>Table43[[#This Row],[Column3]]-Table43[[#This Row],[Column2]]</f>
        <v>0</v>
      </c>
      <c r="O66" s="27">
        <f>Table43[[#This Row],[Column4]]+Table43[[#This Row],[Column1]]</f>
        <v>0</v>
      </c>
      <c r="P66" s="27">
        <f>Table43[[#This Row],[Column5]]+Table43[[#This Row],[Column2]]</f>
        <v>0</v>
      </c>
      <c r="Q66" s="27">
        <f>Table43[[#This Row],[Column6]]-Table43[[#This Row],[AMOUNT]]</f>
        <v>0</v>
      </c>
      <c r="R66" s="10"/>
    </row>
    <row r="67" spans="1:18" ht="17.100000000000001" customHeight="1" x14ac:dyDescent="0.2">
      <c r="A67" s="11"/>
      <c r="C67" s="12"/>
      <c r="D67" s="93"/>
      <c r="E67" s="32"/>
      <c r="F67" s="31"/>
      <c r="G67" s="33"/>
      <c r="H67" s="33"/>
      <c r="I67" s="34"/>
      <c r="J67" s="23"/>
      <c r="K67" s="27">
        <f t="shared" si="2"/>
        <v>0</v>
      </c>
      <c r="L67" s="27">
        <f t="shared" si="3"/>
        <v>0</v>
      </c>
      <c r="M67" s="27">
        <f>Table43[[#This Row],[AMOUNT]]-Table43[[#This Row],[Column1]]</f>
        <v>0</v>
      </c>
      <c r="N67" s="27">
        <f>Table43[[#This Row],[Column3]]-Table43[[#This Row],[Column2]]</f>
        <v>0</v>
      </c>
      <c r="O67" s="27">
        <f>Table43[[#This Row],[Column4]]+Table43[[#This Row],[Column1]]</f>
        <v>0</v>
      </c>
      <c r="P67" s="27">
        <f>Table43[[#This Row],[Column5]]+Table43[[#This Row],[Column2]]</f>
        <v>0</v>
      </c>
      <c r="Q67" s="27">
        <f>Table43[[#This Row],[Column6]]-Table43[[#This Row],[AMOUNT]]</f>
        <v>0</v>
      </c>
      <c r="R67" s="10"/>
    </row>
    <row r="68" spans="1:18" ht="17.100000000000001" customHeight="1" x14ac:dyDescent="0.2">
      <c r="A68" s="11"/>
      <c r="C68" s="12"/>
      <c r="D68" s="93"/>
      <c r="E68" s="32"/>
      <c r="F68" s="31"/>
      <c r="G68" s="33"/>
      <c r="H68" s="33"/>
      <c r="I68" s="34"/>
      <c r="J68" s="23"/>
      <c r="K68" s="27">
        <f t="shared" si="2"/>
        <v>0</v>
      </c>
      <c r="L68" s="27">
        <f t="shared" si="3"/>
        <v>0</v>
      </c>
      <c r="M68" s="27">
        <f>Table43[[#This Row],[AMOUNT]]-Table43[[#This Row],[Column1]]</f>
        <v>0</v>
      </c>
      <c r="N68" s="27">
        <f>Table43[[#This Row],[Column3]]-Table43[[#This Row],[Column2]]</f>
        <v>0</v>
      </c>
      <c r="O68" s="27">
        <f>Table43[[#This Row],[Column4]]+Table43[[#This Row],[Column1]]</f>
        <v>0</v>
      </c>
      <c r="P68" s="27">
        <f>Table43[[#This Row],[Column5]]+Table43[[#This Row],[Column2]]</f>
        <v>0</v>
      </c>
      <c r="Q68" s="27">
        <f>Table43[[#This Row],[Column6]]-Table43[[#This Row],[AMOUNT]]</f>
        <v>0</v>
      </c>
      <c r="R68" s="10"/>
    </row>
    <row r="69" spans="1:18" ht="17.100000000000001" customHeight="1" x14ac:dyDescent="0.2">
      <c r="A69" s="11"/>
      <c r="C69" s="12"/>
      <c r="D69" s="93"/>
      <c r="E69" s="32"/>
      <c r="F69" s="31"/>
      <c r="G69" s="33"/>
      <c r="H69" s="33"/>
      <c r="I69" s="34"/>
      <c r="J69" s="23"/>
      <c r="K69" s="27">
        <f t="shared" si="2"/>
        <v>0</v>
      </c>
      <c r="L69" s="27">
        <f t="shared" si="3"/>
        <v>0</v>
      </c>
      <c r="M69" s="27">
        <f>Table43[[#This Row],[AMOUNT]]-Table43[[#This Row],[Column1]]</f>
        <v>0</v>
      </c>
      <c r="N69" s="27">
        <f>Table43[[#This Row],[Column3]]-Table43[[#This Row],[Column2]]</f>
        <v>0</v>
      </c>
      <c r="O69" s="27">
        <f>Table43[[#This Row],[Column4]]+Table43[[#This Row],[Column1]]</f>
        <v>0</v>
      </c>
      <c r="P69" s="27">
        <f>Table43[[#This Row],[Column5]]+Table43[[#This Row],[Column2]]</f>
        <v>0</v>
      </c>
      <c r="Q69" s="27">
        <f>Table43[[#This Row],[Column6]]-Table43[[#This Row],[AMOUNT]]</f>
        <v>0</v>
      </c>
      <c r="R69" s="10"/>
    </row>
    <row r="70" spans="1:18" ht="17.100000000000001" customHeight="1" x14ac:dyDescent="0.2">
      <c r="A70" s="11"/>
      <c r="C70" s="12"/>
      <c r="D70" s="93"/>
      <c r="E70" s="32"/>
      <c r="F70" s="31"/>
      <c r="G70" s="33"/>
      <c r="H70" s="33"/>
      <c r="I70" s="34"/>
      <c r="J70" s="23"/>
      <c r="K70" s="27">
        <f t="shared" si="2"/>
        <v>0</v>
      </c>
      <c r="L70" s="27">
        <f t="shared" si="3"/>
        <v>0</v>
      </c>
      <c r="M70" s="27">
        <f>Table43[[#This Row],[AMOUNT]]-Table43[[#This Row],[Column1]]</f>
        <v>0</v>
      </c>
      <c r="N70" s="27">
        <f>Table43[[#This Row],[Column3]]-Table43[[#This Row],[Column2]]</f>
        <v>0</v>
      </c>
      <c r="O70" s="27">
        <f>Table43[[#This Row],[Column4]]+Table43[[#This Row],[Column1]]</f>
        <v>0</v>
      </c>
      <c r="P70" s="27">
        <f>Table43[[#This Row],[Column5]]+Table43[[#This Row],[Column2]]</f>
        <v>0</v>
      </c>
      <c r="Q70" s="27">
        <f>Table43[[#This Row],[Column6]]-Table43[[#This Row],[AMOUNT]]</f>
        <v>0</v>
      </c>
      <c r="R70" s="10"/>
    </row>
    <row r="71" spans="1:18" ht="17.100000000000001" customHeight="1" x14ac:dyDescent="0.2">
      <c r="A71" s="11"/>
      <c r="C71" s="12"/>
      <c r="D71" s="93"/>
      <c r="E71" s="32"/>
      <c r="F71" s="31"/>
      <c r="G71" s="33"/>
      <c r="H71" s="33"/>
      <c r="I71" s="34"/>
      <c r="J71" s="23"/>
      <c r="K71" s="27">
        <f t="shared" si="2"/>
        <v>0</v>
      </c>
      <c r="L71" s="27">
        <f t="shared" si="3"/>
        <v>0</v>
      </c>
      <c r="M71" s="27">
        <f>Table43[[#This Row],[AMOUNT]]-Table43[[#This Row],[Column1]]</f>
        <v>0</v>
      </c>
      <c r="N71" s="27">
        <f>Table43[[#This Row],[Column3]]-Table43[[#This Row],[Column2]]</f>
        <v>0</v>
      </c>
      <c r="O71" s="27">
        <f>Table43[[#This Row],[Column4]]+Table43[[#This Row],[Column1]]</f>
        <v>0</v>
      </c>
      <c r="P71" s="27">
        <f>Table43[[#This Row],[Column5]]+Table43[[#This Row],[Column2]]</f>
        <v>0</v>
      </c>
      <c r="Q71" s="27">
        <f>Table43[[#This Row],[Column6]]-Table43[[#This Row],[AMOUNT]]</f>
        <v>0</v>
      </c>
      <c r="R71" s="10"/>
    </row>
    <row r="72" spans="1:18" ht="17.100000000000001" customHeight="1" x14ac:dyDescent="0.2">
      <c r="A72" s="11"/>
      <c r="C72" s="12"/>
      <c r="D72" s="93"/>
      <c r="E72" s="32"/>
      <c r="F72" s="31"/>
      <c r="G72" s="33"/>
      <c r="H72" s="33"/>
      <c r="I72" s="34"/>
      <c r="J72" s="23"/>
      <c r="K72" s="27">
        <f t="shared" ref="K72:K103" si="4">I72/1.12</f>
        <v>0</v>
      </c>
      <c r="L72" s="27">
        <f t="shared" ref="L72:L103" si="5">K72*0.01</f>
        <v>0</v>
      </c>
      <c r="M72" s="27">
        <f>Table43[[#This Row],[AMOUNT]]-Table43[[#This Row],[Column1]]</f>
        <v>0</v>
      </c>
      <c r="N72" s="27">
        <f>Table43[[#This Row],[Column3]]-Table43[[#This Row],[Column2]]</f>
        <v>0</v>
      </c>
      <c r="O72" s="27">
        <f>Table43[[#This Row],[Column4]]+Table43[[#This Row],[Column1]]</f>
        <v>0</v>
      </c>
      <c r="P72" s="27">
        <f>Table43[[#This Row],[Column5]]+Table43[[#This Row],[Column2]]</f>
        <v>0</v>
      </c>
      <c r="Q72" s="27">
        <f>Table43[[#This Row],[Column6]]-Table43[[#This Row],[AMOUNT]]</f>
        <v>0</v>
      </c>
      <c r="R72" s="10"/>
    </row>
    <row r="73" spans="1:18" ht="17.100000000000001" customHeight="1" x14ac:dyDescent="0.2">
      <c r="A73" s="11"/>
      <c r="C73" s="12"/>
      <c r="D73" s="93"/>
      <c r="E73" s="32"/>
      <c r="F73" s="31"/>
      <c r="G73" s="33"/>
      <c r="H73" s="33"/>
      <c r="I73" s="34"/>
      <c r="J73" s="23"/>
      <c r="K73" s="27">
        <f t="shared" si="4"/>
        <v>0</v>
      </c>
      <c r="L73" s="27">
        <f t="shared" si="5"/>
        <v>0</v>
      </c>
      <c r="M73" s="27">
        <f>Table43[[#This Row],[AMOUNT]]-Table43[[#This Row],[Column1]]</f>
        <v>0</v>
      </c>
      <c r="N73" s="27">
        <f>Table43[[#This Row],[Column3]]-Table43[[#This Row],[Column2]]</f>
        <v>0</v>
      </c>
      <c r="O73" s="27">
        <f>Table43[[#This Row],[Column4]]+Table43[[#This Row],[Column1]]</f>
        <v>0</v>
      </c>
      <c r="P73" s="27">
        <f>Table43[[#This Row],[Column5]]+Table43[[#This Row],[Column2]]</f>
        <v>0</v>
      </c>
      <c r="Q73" s="27">
        <f>Table43[[#This Row],[Column6]]-Table43[[#This Row],[AMOUNT]]</f>
        <v>0</v>
      </c>
      <c r="R73" s="10"/>
    </row>
    <row r="74" spans="1:18" ht="17.100000000000001" customHeight="1" x14ac:dyDescent="0.2">
      <c r="A74" s="11"/>
      <c r="C74" s="12"/>
      <c r="D74" s="93"/>
      <c r="E74" s="32"/>
      <c r="F74" s="31"/>
      <c r="G74" s="33"/>
      <c r="H74" s="33"/>
      <c r="I74" s="34"/>
      <c r="J74" s="23"/>
      <c r="K74" s="27">
        <f t="shared" si="4"/>
        <v>0</v>
      </c>
      <c r="L74" s="27">
        <f t="shared" si="5"/>
        <v>0</v>
      </c>
      <c r="M74" s="27">
        <f>Table43[[#This Row],[AMOUNT]]-Table43[[#This Row],[Column1]]</f>
        <v>0</v>
      </c>
      <c r="N74" s="27">
        <f>Table43[[#This Row],[Column3]]-Table43[[#This Row],[Column2]]</f>
        <v>0</v>
      </c>
      <c r="O74" s="27">
        <f>Table43[[#This Row],[Column4]]+Table43[[#This Row],[Column1]]</f>
        <v>0</v>
      </c>
      <c r="P74" s="27">
        <f>Table43[[#This Row],[Column5]]+Table43[[#This Row],[Column2]]</f>
        <v>0</v>
      </c>
      <c r="Q74" s="27">
        <f>Table43[[#This Row],[Column6]]-Table43[[#This Row],[AMOUNT]]</f>
        <v>0</v>
      </c>
      <c r="R74" s="10"/>
    </row>
    <row r="75" spans="1:18" ht="17.100000000000001" customHeight="1" x14ac:dyDescent="0.2">
      <c r="A75" s="11"/>
      <c r="C75" s="12"/>
      <c r="D75" s="93"/>
      <c r="E75" s="32"/>
      <c r="F75" s="31"/>
      <c r="G75" s="33"/>
      <c r="H75" s="33"/>
      <c r="I75" s="34"/>
      <c r="J75" s="23"/>
      <c r="K75" s="27">
        <f t="shared" si="4"/>
        <v>0</v>
      </c>
      <c r="L75" s="27">
        <f t="shared" si="5"/>
        <v>0</v>
      </c>
      <c r="M75" s="27">
        <f>Table43[[#This Row],[AMOUNT]]-Table43[[#This Row],[Column1]]</f>
        <v>0</v>
      </c>
      <c r="N75" s="27">
        <f>Table43[[#This Row],[Column3]]-Table43[[#This Row],[Column2]]</f>
        <v>0</v>
      </c>
      <c r="O75" s="27">
        <f>Table43[[#This Row],[Column4]]+Table43[[#This Row],[Column1]]</f>
        <v>0</v>
      </c>
      <c r="P75" s="27">
        <f>Table43[[#This Row],[Column5]]+Table43[[#This Row],[Column2]]</f>
        <v>0</v>
      </c>
      <c r="Q75" s="27">
        <f>Table43[[#This Row],[Column6]]-Table43[[#This Row],[AMOUNT]]</f>
        <v>0</v>
      </c>
      <c r="R75" s="10"/>
    </row>
    <row r="76" spans="1:18" ht="17.100000000000001" customHeight="1" x14ac:dyDescent="0.2">
      <c r="A76" s="11"/>
      <c r="C76" s="12"/>
      <c r="D76" s="93"/>
      <c r="E76" s="32"/>
      <c r="F76" s="31"/>
      <c r="G76" s="33"/>
      <c r="H76" s="33"/>
      <c r="I76" s="34"/>
      <c r="J76" s="23"/>
      <c r="K76" s="27">
        <f t="shared" si="4"/>
        <v>0</v>
      </c>
      <c r="L76" s="27">
        <f t="shared" si="5"/>
        <v>0</v>
      </c>
      <c r="M76" s="27">
        <f>Table43[[#This Row],[AMOUNT]]-Table43[[#This Row],[Column1]]</f>
        <v>0</v>
      </c>
      <c r="N76" s="27">
        <f>Table43[[#This Row],[Column3]]-Table43[[#This Row],[Column2]]</f>
        <v>0</v>
      </c>
      <c r="O76" s="27">
        <f>Table43[[#This Row],[Column4]]+Table43[[#This Row],[Column1]]</f>
        <v>0</v>
      </c>
      <c r="P76" s="27">
        <f>Table43[[#This Row],[Column5]]+Table43[[#This Row],[Column2]]</f>
        <v>0</v>
      </c>
      <c r="Q76" s="27">
        <f>Table43[[#This Row],[Column6]]-Table43[[#This Row],[AMOUNT]]</f>
        <v>0</v>
      </c>
      <c r="R76" s="10"/>
    </row>
    <row r="77" spans="1:18" ht="17.100000000000001" customHeight="1" x14ac:dyDescent="0.2">
      <c r="A77" s="11"/>
      <c r="C77" s="12"/>
      <c r="D77" s="93"/>
      <c r="E77" s="32"/>
      <c r="F77" s="31"/>
      <c r="G77" s="33"/>
      <c r="H77" s="33"/>
      <c r="I77" s="34"/>
      <c r="J77" s="23"/>
      <c r="K77" s="27">
        <f t="shared" si="4"/>
        <v>0</v>
      </c>
      <c r="L77" s="27">
        <f t="shared" si="5"/>
        <v>0</v>
      </c>
      <c r="M77" s="27">
        <f>Table43[[#This Row],[AMOUNT]]-Table43[[#This Row],[Column1]]</f>
        <v>0</v>
      </c>
      <c r="N77" s="27">
        <f>Table43[[#This Row],[Column3]]-Table43[[#This Row],[Column2]]</f>
        <v>0</v>
      </c>
      <c r="O77" s="27">
        <f>Table43[[#This Row],[Column4]]+Table43[[#This Row],[Column1]]</f>
        <v>0</v>
      </c>
      <c r="P77" s="27">
        <f>Table43[[#This Row],[Column5]]+Table43[[#This Row],[Column2]]</f>
        <v>0</v>
      </c>
      <c r="Q77" s="27">
        <f>Table43[[#This Row],[Column6]]-Table43[[#This Row],[AMOUNT]]</f>
        <v>0</v>
      </c>
      <c r="R77" s="10"/>
    </row>
    <row r="78" spans="1:18" ht="17.100000000000001" customHeight="1" x14ac:dyDescent="0.2">
      <c r="A78" s="11"/>
      <c r="C78" s="12"/>
      <c r="D78" s="93"/>
      <c r="E78" s="32"/>
      <c r="F78" s="31"/>
      <c r="G78" s="33"/>
      <c r="H78" s="33"/>
      <c r="I78" s="34"/>
      <c r="J78" s="23"/>
      <c r="K78" s="27">
        <f t="shared" si="4"/>
        <v>0</v>
      </c>
      <c r="L78" s="27">
        <f t="shared" si="5"/>
        <v>0</v>
      </c>
      <c r="M78" s="27">
        <f>Table43[[#This Row],[AMOUNT]]-Table43[[#This Row],[Column1]]</f>
        <v>0</v>
      </c>
      <c r="N78" s="27">
        <f>Table43[[#This Row],[Column3]]-Table43[[#This Row],[Column2]]</f>
        <v>0</v>
      </c>
      <c r="O78" s="27">
        <f>Table43[[#This Row],[Column4]]+Table43[[#This Row],[Column1]]</f>
        <v>0</v>
      </c>
      <c r="P78" s="27">
        <f>Table43[[#This Row],[Column5]]+Table43[[#This Row],[Column2]]</f>
        <v>0</v>
      </c>
      <c r="Q78" s="27">
        <f>Table43[[#This Row],[Column6]]-Table43[[#This Row],[AMOUNT]]</f>
        <v>0</v>
      </c>
      <c r="R78" s="10"/>
    </row>
    <row r="79" spans="1:18" ht="17.100000000000001" customHeight="1" x14ac:dyDescent="0.2">
      <c r="A79" s="11"/>
      <c r="C79" s="12"/>
      <c r="D79" s="93"/>
      <c r="E79" s="32"/>
      <c r="F79" s="31"/>
      <c r="G79" s="33"/>
      <c r="H79" s="33"/>
      <c r="I79" s="34"/>
      <c r="J79" s="23"/>
      <c r="K79" s="27">
        <f t="shared" si="4"/>
        <v>0</v>
      </c>
      <c r="L79" s="27">
        <f t="shared" si="5"/>
        <v>0</v>
      </c>
      <c r="M79" s="27">
        <f>Table43[[#This Row],[AMOUNT]]-Table43[[#This Row],[Column1]]</f>
        <v>0</v>
      </c>
      <c r="N79" s="27">
        <f>Table43[[#This Row],[Column3]]-Table43[[#This Row],[Column2]]</f>
        <v>0</v>
      </c>
      <c r="O79" s="27">
        <f>Table43[[#This Row],[Column4]]+Table43[[#This Row],[Column1]]</f>
        <v>0</v>
      </c>
      <c r="P79" s="27">
        <f>Table43[[#This Row],[Column5]]+Table43[[#This Row],[Column2]]</f>
        <v>0</v>
      </c>
      <c r="Q79" s="27">
        <f>Table43[[#This Row],[Column6]]-Table43[[#This Row],[AMOUNT]]</f>
        <v>0</v>
      </c>
      <c r="R79" s="10"/>
    </row>
    <row r="80" spans="1:18" ht="17.100000000000001" customHeight="1" x14ac:dyDescent="0.2">
      <c r="A80" s="11"/>
      <c r="C80" s="12"/>
      <c r="D80" s="93"/>
      <c r="E80" s="32"/>
      <c r="F80" s="31"/>
      <c r="G80" s="33"/>
      <c r="H80" s="33"/>
      <c r="I80" s="34"/>
      <c r="J80" s="23"/>
      <c r="K80" s="27">
        <f t="shared" si="4"/>
        <v>0</v>
      </c>
      <c r="L80" s="27">
        <f t="shared" si="5"/>
        <v>0</v>
      </c>
      <c r="M80" s="27">
        <f>Table43[[#This Row],[AMOUNT]]-Table43[[#This Row],[Column1]]</f>
        <v>0</v>
      </c>
      <c r="N80" s="27">
        <f>Table43[[#This Row],[Column3]]-Table43[[#This Row],[Column2]]</f>
        <v>0</v>
      </c>
      <c r="O80" s="27">
        <f>Table43[[#This Row],[Column4]]+Table43[[#This Row],[Column1]]</f>
        <v>0</v>
      </c>
      <c r="P80" s="27">
        <f>Table43[[#This Row],[Column5]]+Table43[[#This Row],[Column2]]</f>
        <v>0</v>
      </c>
      <c r="Q80" s="27">
        <f>Table43[[#This Row],[Column6]]-Table43[[#This Row],[AMOUNT]]</f>
        <v>0</v>
      </c>
      <c r="R80" s="10"/>
    </row>
    <row r="81" spans="1:18" ht="17.100000000000001" customHeight="1" x14ac:dyDescent="0.2">
      <c r="A81" s="11"/>
      <c r="C81" s="12"/>
      <c r="D81" s="93"/>
      <c r="E81" s="32"/>
      <c r="F81" s="31"/>
      <c r="G81" s="33"/>
      <c r="H81" s="33"/>
      <c r="I81" s="34"/>
      <c r="J81" s="23"/>
      <c r="K81" s="27">
        <f t="shared" si="4"/>
        <v>0</v>
      </c>
      <c r="L81" s="27">
        <f t="shared" si="5"/>
        <v>0</v>
      </c>
      <c r="M81" s="27">
        <f>Table43[[#This Row],[AMOUNT]]-Table43[[#This Row],[Column1]]</f>
        <v>0</v>
      </c>
      <c r="N81" s="27">
        <f>Table43[[#This Row],[Column3]]-Table43[[#This Row],[Column2]]</f>
        <v>0</v>
      </c>
      <c r="O81" s="27">
        <f>Table43[[#This Row],[Column4]]+Table43[[#This Row],[Column1]]</f>
        <v>0</v>
      </c>
      <c r="P81" s="27">
        <f>Table43[[#This Row],[Column5]]+Table43[[#This Row],[Column2]]</f>
        <v>0</v>
      </c>
      <c r="Q81" s="27">
        <f>Table43[[#This Row],[Column6]]-Table43[[#This Row],[AMOUNT]]</f>
        <v>0</v>
      </c>
      <c r="R81" s="10"/>
    </row>
    <row r="82" spans="1:18" ht="17.100000000000001" customHeight="1" x14ac:dyDescent="0.2">
      <c r="A82" s="11"/>
      <c r="C82" s="12"/>
      <c r="D82" s="93"/>
      <c r="E82" s="32"/>
      <c r="F82" s="31"/>
      <c r="G82" s="33"/>
      <c r="H82" s="33"/>
      <c r="I82" s="34"/>
      <c r="J82" s="23"/>
      <c r="K82" s="27">
        <f t="shared" si="4"/>
        <v>0</v>
      </c>
      <c r="L82" s="27">
        <f t="shared" si="5"/>
        <v>0</v>
      </c>
      <c r="M82" s="27">
        <f>Table43[[#This Row],[AMOUNT]]-Table43[[#This Row],[Column1]]</f>
        <v>0</v>
      </c>
      <c r="N82" s="27">
        <f>Table43[[#This Row],[Column3]]-Table43[[#This Row],[Column2]]</f>
        <v>0</v>
      </c>
      <c r="O82" s="27">
        <f>Table43[[#This Row],[Column4]]+Table43[[#This Row],[Column1]]</f>
        <v>0</v>
      </c>
      <c r="P82" s="27">
        <f>Table43[[#This Row],[Column5]]+Table43[[#This Row],[Column2]]</f>
        <v>0</v>
      </c>
      <c r="Q82" s="27">
        <f>Table43[[#This Row],[Column6]]-Table43[[#This Row],[AMOUNT]]</f>
        <v>0</v>
      </c>
      <c r="R82" s="10"/>
    </row>
    <row r="83" spans="1:18" ht="17.100000000000001" customHeight="1" x14ac:dyDescent="0.2">
      <c r="A83" s="11"/>
      <c r="C83" s="12"/>
      <c r="D83" s="93"/>
      <c r="E83" s="32"/>
      <c r="F83" s="31"/>
      <c r="G83" s="33"/>
      <c r="H83" s="33"/>
      <c r="I83" s="34"/>
      <c r="J83" s="23"/>
      <c r="K83" s="27">
        <f t="shared" si="4"/>
        <v>0</v>
      </c>
      <c r="L83" s="27">
        <f t="shared" si="5"/>
        <v>0</v>
      </c>
      <c r="M83" s="27">
        <f>Table43[[#This Row],[AMOUNT]]-Table43[[#This Row],[Column1]]</f>
        <v>0</v>
      </c>
      <c r="N83" s="27">
        <f>Table43[[#This Row],[Column3]]-Table43[[#This Row],[Column2]]</f>
        <v>0</v>
      </c>
      <c r="O83" s="27">
        <f>Table43[[#This Row],[Column4]]+Table43[[#This Row],[Column1]]</f>
        <v>0</v>
      </c>
      <c r="P83" s="27">
        <f>Table43[[#This Row],[Column5]]+Table43[[#This Row],[Column2]]</f>
        <v>0</v>
      </c>
      <c r="Q83" s="27">
        <f>Table43[[#This Row],[Column6]]-Table43[[#This Row],[AMOUNT]]</f>
        <v>0</v>
      </c>
      <c r="R83" s="10"/>
    </row>
    <row r="84" spans="1:18" ht="17.100000000000001" customHeight="1" x14ac:dyDescent="0.2">
      <c r="A84" s="11"/>
      <c r="C84" s="12"/>
      <c r="D84" s="93"/>
      <c r="E84" s="32"/>
      <c r="F84" s="31"/>
      <c r="G84" s="33"/>
      <c r="H84" s="33"/>
      <c r="I84" s="34"/>
      <c r="J84" s="23"/>
      <c r="K84" s="27">
        <f t="shared" si="4"/>
        <v>0</v>
      </c>
      <c r="L84" s="27">
        <f t="shared" si="5"/>
        <v>0</v>
      </c>
      <c r="M84" s="27">
        <f>Table43[[#This Row],[AMOUNT]]-Table43[[#This Row],[Column1]]</f>
        <v>0</v>
      </c>
      <c r="N84" s="27">
        <f>Table43[[#This Row],[Column3]]-Table43[[#This Row],[Column2]]</f>
        <v>0</v>
      </c>
      <c r="O84" s="27">
        <f>Table43[[#This Row],[Column4]]+Table43[[#This Row],[Column1]]</f>
        <v>0</v>
      </c>
      <c r="P84" s="27">
        <f>Table43[[#This Row],[Column5]]+Table43[[#This Row],[Column2]]</f>
        <v>0</v>
      </c>
      <c r="Q84" s="27">
        <f>Table43[[#This Row],[Column6]]-Table43[[#This Row],[AMOUNT]]</f>
        <v>0</v>
      </c>
      <c r="R84" s="10"/>
    </row>
    <row r="85" spans="1:18" ht="17.100000000000001" customHeight="1" x14ac:dyDescent="0.2">
      <c r="A85" s="11"/>
      <c r="C85" s="12"/>
      <c r="D85" s="93"/>
      <c r="E85" s="32"/>
      <c r="F85" s="31"/>
      <c r="G85" s="33"/>
      <c r="H85" s="33"/>
      <c r="I85" s="34"/>
      <c r="J85" s="23"/>
      <c r="K85" s="27">
        <f t="shared" si="4"/>
        <v>0</v>
      </c>
      <c r="L85" s="27">
        <f t="shared" si="5"/>
        <v>0</v>
      </c>
      <c r="M85" s="27">
        <f>Table43[[#This Row],[AMOUNT]]-Table43[[#This Row],[Column1]]</f>
        <v>0</v>
      </c>
      <c r="N85" s="27">
        <f>Table43[[#This Row],[Column3]]-Table43[[#This Row],[Column2]]</f>
        <v>0</v>
      </c>
      <c r="O85" s="27">
        <f>Table43[[#This Row],[Column4]]+Table43[[#This Row],[Column1]]</f>
        <v>0</v>
      </c>
      <c r="P85" s="27">
        <f>Table43[[#This Row],[Column5]]+Table43[[#This Row],[Column2]]</f>
        <v>0</v>
      </c>
      <c r="Q85" s="27">
        <f>Table43[[#This Row],[Column6]]-Table43[[#This Row],[AMOUNT]]</f>
        <v>0</v>
      </c>
      <c r="R85" s="10"/>
    </row>
    <row r="86" spans="1:18" ht="17.100000000000001" customHeight="1" x14ac:dyDescent="0.2">
      <c r="A86" s="11"/>
      <c r="C86" s="12"/>
      <c r="D86" s="93"/>
      <c r="E86" s="32"/>
      <c r="F86" s="31"/>
      <c r="G86" s="33"/>
      <c r="H86" s="33"/>
      <c r="I86" s="34"/>
      <c r="J86" s="23"/>
      <c r="K86" s="27">
        <f t="shared" si="4"/>
        <v>0</v>
      </c>
      <c r="L86" s="27">
        <f t="shared" si="5"/>
        <v>0</v>
      </c>
      <c r="M86" s="27">
        <f>Table43[[#This Row],[AMOUNT]]-Table43[[#This Row],[Column1]]</f>
        <v>0</v>
      </c>
      <c r="N86" s="27">
        <f>Table43[[#This Row],[Column3]]-Table43[[#This Row],[Column2]]</f>
        <v>0</v>
      </c>
      <c r="O86" s="27">
        <f>Table43[[#This Row],[Column4]]+Table43[[#This Row],[Column1]]</f>
        <v>0</v>
      </c>
      <c r="P86" s="27">
        <f>Table43[[#This Row],[Column5]]+Table43[[#This Row],[Column2]]</f>
        <v>0</v>
      </c>
      <c r="Q86" s="27">
        <f>Table43[[#This Row],[Column6]]-Table43[[#This Row],[AMOUNT]]</f>
        <v>0</v>
      </c>
      <c r="R86" s="10"/>
    </row>
    <row r="87" spans="1:18" ht="17.100000000000001" customHeight="1" x14ac:dyDescent="0.2">
      <c r="A87" s="11"/>
      <c r="C87" s="12"/>
      <c r="D87" s="93"/>
      <c r="E87" s="32"/>
      <c r="F87" s="31"/>
      <c r="G87" s="33"/>
      <c r="H87" s="33"/>
      <c r="I87" s="34"/>
      <c r="J87" s="23"/>
      <c r="K87" s="27">
        <f t="shared" si="4"/>
        <v>0</v>
      </c>
      <c r="L87" s="27">
        <f t="shared" si="5"/>
        <v>0</v>
      </c>
      <c r="M87" s="27">
        <f>Table43[[#This Row],[AMOUNT]]-Table43[[#This Row],[Column1]]</f>
        <v>0</v>
      </c>
      <c r="N87" s="27">
        <f>Table43[[#This Row],[Column3]]-Table43[[#This Row],[Column2]]</f>
        <v>0</v>
      </c>
      <c r="O87" s="27">
        <f>Table43[[#This Row],[Column4]]+Table43[[#This Row],[Column1]]</f>
        <v>0</v>
      </c>
      <c r="P87" s="27">
        <f>Table43[[#This Row],[Column5]]+Table43[[#This Row],[Column2]]</f>
        <v>0</v>
      </c>
      <c r="Q87" s="27">
        <f>Table43[[#This Row],[Column6]]-Table43[[#This Row],[AMOUNT]]</f>
        <v>0</v>
      </c>
      <c r="R87" s="10"/>
    </row>
    <row r="88" spans="1:18" ht="17.100000000000001" customHeight="1" x14ac:dyDescent="0.2">
      <c r="A88" s="11"/>
      <c r="C88" s="12"/>
      <c r="D88" s="93"/>
      <c r="E88" s="32"/>
      <c r="F88" s="31"/>
      <c r="G88" s="33"/>
      <c r="H88" s="33"/>
      <c r="I88" s="34"/>
      <c r="J88" s="23"/>
      <c r="K88" s="27">
        <f t="shared" si="4"/>
        <v>0</v>
      </c>
      <c r="L88" s="27">
        <f t="shared" si="5"/>
        <v>0</v>
      </c>
      <c r="M88" s="27">
        <f>Table43[[#This Row],[AMOUNT]]-Table43[[#This Row],[Column1]]</f>
        <v>0</v>
      </c>
      <c r="N88" s="27">
        <f>Table43[[#This Row],[Column3]]-Table43[[#This Row],[Column2]]</f>
        <v>0</v>
      </c>
      <c r="O88" s="27">
        <f>Table43[[#This Row],[Column4]]+Table43[[#This Row],[Column1]]</f>
        <v>0</v>
      </c>
      <c r="P88" s="27">
        <f>Table43[[#This Row],[Column5]]+Table43[[#This Row],[Column2]]</f>
        <v>0</v>
      </c>
      <c r="Q88" s="27">
        <f>Table43[[#This Row],[Column6]]-Table43[[#This Row],[AMOUNT]]</f>
        <v>0</v>
      </c>
      <c r="R88" s="10"/>
    </row>
    <row r="89" spans="1:18" ht="17.100000000000001" customHeight="1" x14ac:dyDescent="0.2">
      <c r="A89" s="11"/>
      <c r="C89" s="12"/>
      <c r="D89" s="93"/>
      <c r="E89" s="32"/>
      <c r="F89" s="31"/>
      <c r="G89" s="33"/>
      <c r="H89" s="33"/>
      <c r="I89" s="34"/>
      <c r="J89" s="23"/>
      <c r="K89" s="27">
        <f t="shared" si="4"/>
        <v>0</v>
      </c>
      <c r="L89" s="27">
        <f t="shared" si="5"/>
        <v>0</v>
      </c>
      <c r="M89" s="27">
        <f>Table43[[#This Row],[AMOUNT]]-Table43[[#This Row],[Column1]]</f>
        <v>0</v>
      </c>
      <c r="N89" s="27">
        <f>Table43[[#This Row],[Column3]]-Table43[[#This Row],[Column2]]</f>
        <v>0</v>
      </c>
      <c r="O89" s="27">
        <f>Table43[[#This Row],[Column4]]+Table43[[#This Row],[Column1]]</f>
        <v>0</v>
      </c>
      <c r="P89" s="27">
        <f>Table43[[#This Row],[Column5]]+Table43[[#This Row],[Column2]]</f>
        <v>0</v>
      </c>
      <c r="Q89" s="27">
        <f>Table43[[#This Row],[Column6]]-Table43[[#This Row],[AMOUNT]]</f>
        <v>0</v>
      </c>
      <c r="R89" s="10"/>
    </row>
    <row r="90" spans="1:18" ht="17.100000000000001" customHeight="1" x14ac:dyDescent="0.2">
      <c r="A90" s="11"/>
      <c r="C90" s="12"/>
      <c r="D90" s="93"/>
      <c r="E90" s="32"/>
      <c r="F90" s="31"/>
      <c r="G90" s="33"/>
      <c r="H90" s="33"/>
      <c r="I90" s="34"/>
      <c r="J90" s="23"/>
      <c r="K90" s="27">
        <f t="shared" si="4"/>
        <v>0</v>
      </c>
      <c r="L90" s="27">
        <f t="shared" si="5"/>
        <v>0</v>
      </c>
      <c r="M90" s="27">
        <f>Table43[[#This Row],[AMOUNT]]-Table43[[#This Row],[Column1]]</f>
        <v>0</v>
      </c>
      <c r="N90" s="27">
        <f>Table43[[#This Row],[Column3]]-Table43[[#This Row],[Column2]]</f>
        <v>0</v>
      </c>
      <c r="O90" s="27">
        <f>Table43[[#This Row],[Column4]]+Table43[[#This Row],[Column1]]</f>
        <v>0</v>
      </c>
      <c r="P90" s="27">
        <f>Table43[[#This Row],[Column5]]+Table43[[#This Row],[Column2]]</f>
        <v>0</v>
      </c>
      <c r="Q90" s="27">
        <f>Table43[[#This Row],[Column6]]-Table43[[#This Row],[AMOUNT]]</f>
        <v>0</v>
      </c>
      <c r="R90" s="10"/>
    </row>
    <row r="91" spans="1:18" ht="17.100000000000001" customHeight="1" x14ac:dyDescent="0.2">
      <c r="A91" s="11"/>
      <c r="C91" s="12"/>
      <c r="D91" s="93"/>
      <c r="E91" s="32"/>
      <c r="F91" s="31"/>
      <c r="G91" s="33"/>
      <c r="H91" s="33"/>
      <c r="I91" s="34"/>
      <c r="J91" s="23"/>
      <c r="K91" s="27">
        <f t="shared" si="4"/>
        <v>0</v>
      </c>
      <c r="L91" s="27">
        <f t="shared" si="5"/>
        <v>0</v>
      </c>
      <c r="M91" s="27">
        <f>Table43[[#This Row],[AMOUNT]]-Table43[[#This Row],[Column1]]</f>
        <v>0</v>
      </c>
      <c r="N91" s="27">
        <f>Table43[[#This Row],[Column3]]-Table43[[#This Row],[Column2]]</f>
        <v>0</v>
      </c>
      <c r="O91" s="27">
        <f>Table43[[#This Row],[Column4]]+Table43[[#This Row],[Column1]]</f>
        <v>0</v>
      </c>
      <c r="P91" s="27">
        <f>Table43[[#This Row],[Column5]]+Table43[[#This Row],[Column2]]</f>
        <v>0</v>
      </c>
      <c r="Q91" s="27">
        <f>Table43[[#This Row],[Column6]]-Table43[[#This Row],[AMOUNT]]</f>
        <v>0</v>
      </c>
      <c r="R91" s="10"/>
    </row>
    <row r="92" spans="1:18" ht="17.100000000000001" customHeight="1" x14ac:dyDescent="0.2">
      <c r="A92" s="11"/>
      <c r="C92" s="12"/>
      <c r="D92" s="93"/>
      <c r="E92" s="32"/>
      <c r="F92" s="31"/>
      <c r="G92" s="33"/>
      <c r="H92" s="33"/>
      <c r="I92" s="34"/>
      <c r="J92" s="23"/>
      <c r="K92" s="27">
        <f t="shared" si="4"/>
        <v>0</v>
      </c>
      <c r="L92" s="27">
        <f t="shared" si="5"/>
        <v>0</v>
      </c>
      <c r="M92" s="27">
        <f>Table43[[#This Row],[AMOUNT]]-Table43[[#This Row],[Column1]]</f>
        <v>0</v>
      </c>
      <c r="N92" s="27">
        <f>Table43[[#This Row],[Column3]]-Table43[[#This Row],[Column2]]</f>
        <v>0</v>
      </c>
      <c r="O92" s="27">
        <f>Table43[[#This Row],[Column4]]+Table43[[#This Row],[Column1]]</f>
        <v>0</v>
      </c>
      <c r="P92" s="27">
        <f>Table43[[#This Row],[Column5]]+Table43[[#This Row],[Column2]]</f>
        <v>0</v>
      </c>
      <c r="Q92" s="27">
        <f>Table43[[#This Row],[Column6]]-Table43[[#This Row],[AMOUNT]]</f>
        <v>0</v>
      </c>
      <c r="R92" s="10"/>
    </row>
    <row r="93" spans="1:18" ht="17.100000000000001" customHeight="1" x14ac:dyDescent="0.2">
      <c r="A93" s="11"/>
      <c r="C93" s="12"/>
      <c r="D93" s="93"/>
      <c r="E93" s="32"/>
      <c r="F93" s="31"/>
      <c r="G93" s="33"/>
      <c r="H93" s="33"/>
      <c r="I93" s="34"/>
      <c r="J93" s="23"/>
      <c r="K93" s="27">
        <f t="shared" si="4"/>
        <v>0</v>
      </c>
      <c r="L93" s="27">
        <f t="shared" si="5"/>
        <v>0</v>
      </c>
      <c r="M93" s="27">
        <f>Table43[[#This Row],[AMOUNT]]-Table43[[#This Row],[Column1]]</f>
        <v>0</v>
      </c>
      <c r="N93" s="27">
        <f>Table43[[#This Row],[Column3]]-Table43[[#This Row],[Column2]]</f>
        <v>0</v>
      </c>
      <c r="O93" s="27">
        <f>Table43[[#This Row],[Column4]]+Table43[[#This Row],[Column1]]</f>
        <v>0</v>
      </c>
      <c r="P93" s="27">
        <f>Table43[[#This Row],[Column5]]+Table43[[#This Row],[Column2]]</f>
        <v>0</v>
      </c>
      <c r="Q93" s="27">
        <f>Table43[[#This Row],[Column6]]-Table43[[#This Row],[AMOUNT]]</f>
        <v>0</v>
      </c>
      <c r="R93" s="10"/>
    </row>
    <row r="94" spans="1:18" ht="17.100000000000001" customHeight="1" x14ac:dyDescent="0.2">
      <c r="A94" s="11"/>
      <c r="C94" s="12"/>
      <c r="D94" s="93"/>
      <c r="E94" s="32"/>
      <c r="F94" s="31"/>
      <c r="G94" s="33"/>
      <c r="H94" s="33"/>
      <c r="I94" s="34"/>
      <c r="J94" s="23"/>
      <c r="K94" s="27">
        <f t="shared" si="4"/>
        <v>0</v>
      </c>
      <c r="L94" s="27">
        <f t="shared" si="5"/>
        <v>0</v>
      </c>
      <c r="M94" s="27">
        <f>Table43[[#This Row],[AMOUNT]]-Table43[[#This Row],[Column1]]</f>
        <v>0</v>
      </c>
      <c r="N94" s="27">
        <f>Table43[[#This Row],[Column3]]-Table43[[#This Row],[Column2]]</f>
        <v>0</v>
      </c>
      <c r="O94" s="27">
        <f>Table43[[#This Row],[Column4]]+Table43[[#This Row],[Column1]]</f>
        <v>0</v>
      </c>
      <c r="P94" s="27">
        <f>Table43[[#This Row],[Column5]]+Table43[[#This Row],[Column2]]</f>
        <v>0</v>
      </c>
      <c r="Q94" s="27">
        <f>Table43[[#This Row],[Column6]]-Table43[[#This Row],[AMOUNT]]</f>
        <v>0</v>
      </c>
      <c r="R94" s="10"/>
    </row>
    <row r="95" spans="1:18" ht="17.100000000000001" customHeight="1" x14ac:dyDescent="0.2">
      <c r="A95" s="11"/>
      <c r="C95" s="12"/>
      <c r="D95" s="93"/>
      <c r="E95" s="32"/>
      <c r="F95" s="31"/>
      <c r="G95" s="33"/>
      <c r="H95" s="33"/>
      <c r="I95" s="34"/>
      <c r="J95" s="23"/>
      <c r="K95" s="27">
        <f t="shared" si="4"/>
        <v>0</v>
      </c>
      <c r="L95" s="27">
        <f t="shared" si="5"/>
        <v>0</v>
      </c>
      <c r="M95" s="27">
        <f>Table43[[#This Row],[AMOUNT]]-Table43[[#This Row],[Column1]]</f>
        <v>0</v>
      </c>
      <c r="N95" s="27">
        <f>Table43[[#This Row],[Column3]]-Table43[[#This Row],[Column2]]</f>
        <v>0</v>
      </c>
      <c r="O95" s="27">
        <f>Table43[[#This Row],[Column4]]+Table43[[#This Row],[Column1]]</f>
        <v>0</v>
      </c>
      <c r="P95" s="27">
        <f>Table43[[#This Row],[Column5]]+Table43[[#This Row],[Column2]]</f>
        <v>0</v>
      </c>
      <c r="Q95" s="27">
        <f>Table43[[#This Row],[Column6]]-Table43[[#This Row],[AMOUNT]]</f>
        <v>0</v>
      </c>
      <c r="R95" s="10"/>
    </row>
    <row r="96" spans="1:18" ht="17.100000000000001" customHeight="1" x14ac:dyDescent="0.2">
      <c r="A96" s="11"/>
      <c r="C96" s="12"/>
      <c r="D96" s="93"/>
      <c r="E96" s="32"/>
      <c r="F96" s="31"/>
      <c r="G96" s="33"/>
      <c r="H96" s="33"/>
      <c r="I96" s="34"/>
      <c r="J96" s="23"/>
      <c r="K96" s="27">
        <f t="shared" si="4"/>
        <v>0</v>
      </c>
      <c r="L96" s="27">
        <f t="shared" si="5"/>
        <v>0</v>
      </c>
      <c r="M96" s="27">
        <f>Table43[[#This Row],[AMOUNT]]-Table43[[#This Row],[Column1]]</f>
        <v>0</v>
      </c>
      <c r="N96" s="27">
        <f>Table43[[#This Row],[Column3]]-Table43[[#This Row],[Column2]]</f>
        <v>0</v>
      </c>
      <c r="O96" s="27">
        <f>Table43[[#This Row],[Column4]]+Table43[[#This Row],[Column1]]</f>
        <v>0</v>
      </c>
      <c r="P96" s="27">
        <f>Table43[[#This Row],[Column5]]+Table43[[#This Row],[Column2]]</f>
        <v>0</v>
      </c>
      <c r="Q96" s="27">
        <f>Table43[[#This Row],[Column6]]-Table43[[#This Row],[AMOUNT]]</f>
        <v>0</v>
      </c>
      <c r="R96" s="10"/>
    </row>
    <row r="97" spans="1:18" ht="17.100000000000001" customHeight="1" x14ac:dyDescent="0.2">
      <c r="A97" s="11"/>
      <c r="C97" s="12"/>
      <c r="D97" s="93"/>
      <c r="E97" s="32"/>
      <c r="F97" s="31"/>
      <c r="G97" s="33"/>
      <c r="H97" s="33"/>
      <c r="I97" s="34"/>
      <c r="J97" s="23"/>
      <c r="K97" s="27">
        <f t="shared" si="4"/>
        <v>0</v>
      </c>
      <c r="L97" s="27">
        <f t="shared" si="5"/>
        <v>0</v>
      </c>
      <c r="M97" s="27">
        <f>Table43[[#This Row],[AMOUNT]]-Table43[[#This Row],[Column1]]</f>
        <v>0</v>
      </c>
      <c r="N97" s="27">
        <f>Table43[[#This Row],[Column3]]-Table43[[#This Row],[Column2]]</f>
        <v>0</v>
      </c>
      <c r="O97" s="27">
        <f>Table43[[#This Row],[Column4]]+Table43[[#This Row],[Column1]]</f>
        <v>0</v>
      </c>
      <c r="P97" s="27">
        <f>Table43[[#This Row],[Column5]]+Table43[[#This Row],[Column2]]</f>
        <v>0</v>
      </c>
      <c r="Q97" s="27">
        <f>Table43[[#This Row],[Column6]]-Table43[[#This Row],[AMOUNT]]</f>
        <v>0</v>
      </c>
      <c r="R97" s="10"/>
    </row>
    <row r="98" spans="1:18" ht="17.100000000000001" customHeight="1" x14ac:dyDescent="0.2">
      <c r="A98" s="11"/>
      <c r="C98" s="12"/>
      <c r="D98" s="93"/>
      <c r="E98" s="32"/>
      <c r="F98" s="31"/>
      <c r="G98" s="33"/>
      <c r="H98" s="33"/>
      <c r="I98" s="34"/>
      <c r="J98" s="23"/>
      <c r="K98" s="27">
        <f t="shared" si="4"/>
        <v>0</v>
      </c>
      <c r="L98" s="27">
        <f t="shared" si="5"/>
        <v>0</v>
      </c>
      <c r="M98" s="27">
        <f>Table43[[#This Row],[AMOUNT]]-Table43[[#This Row],[Column1]]</f>
        <v>0</v>
      </c>
      <c r="N98" s="27">
        <f>Table43[[#This Row],[Column3]]-Table43[[#This Row],[Column2]]</f>
        <v>0</v>
      </c>
      <c r="O98" s="27">
        <f>Table43[[#This Row],[Column4]]+Table43[[#This Row],[Column1]]</f>
        <v>0</v>
      </c>
      <c r="P98" s="27">
        <f>Table43[[#This Row],[Column5]]+Table43[[#This Row],[Column2]]</f>
        <v>0</v>
      </c>
      <c r="Q98" s="27">
        <f>Table43[[#This Row],[Column6]]-Table43[[#This Row],[AMOUNT]]</f>
        <v>0</v>
      </c>
      <c r="R98" s="10"/>
    </row>
    <row r="99" spans="1:18" ht="17.100000000000001" customHeight="1" x14ac:dyDescent="0.2">
      <c r="A99" s="11"/>
      <c r="C99" s="12"/>
      <c r="D99" s="93"/>
      <c r="E99" s="32"/>
      <c r="F99" s="31"/>
      <c r="G99" s="33"/>
      <c r="H99" s="33"/>
      <c r="I99" s="34"/>
      <c r="J99" s="23"/>
      <c r="K99" s="27">
        <f t="shared" si="4"/>
        <v>0</v>
      </c>
      <c r="L99" s="27">
        <f t="shared" si="5"/>
        <v>0</v>
      </c>
      <c r="M99" s="27">
        <f>Table43[[#This Row],[AMOUNT]]-Table43[[#This Row],[Column1]]</f>
        <v>0</v>
      </c>
      <c r="N99" s="27">
        <f>Table43[[#This Row],[Column3]]-Table43[[#This Row],[Column2]]</f>
        <v>0</v>
      </c>
      <c r="O99" s="27">
        <f>Table43[[#This Row],[Column4]]+Table43[[#This Row],[Column1]]</f>
        <v>0</v>
      </c>
      <c r="P99" s="27">
        <f>Table43[[#This Row],[Column5]]+Table43[[#This Row],[Column2]]</f>
        <v>0</v>
      </c>
      <c r="Q99" s="27">
        <f>Table43[[#This Row],[Column6]]-Table43[[#This Row],[AMOUNT]]</f>
        <v>0</v>
      </c>
      <c r="R99" s="10"/>
    </row>
    <row r="100" spans="1:18" ht="17.100000000000001" customHeight="1" x14ac:dyDescent="0.2">
      <c r="A100" s="11"/>
      <c r="C100" s="12"/>
      <c r="D100" s="93"/>
      <c r="E100" s="32"/>
      <c r="F100" s="31"/>
      <c r="G100" s="33"/>
      <c r="H100" s="33"/>
      <c r="I100" s="34"/>
      <c r="J100" s="23"/>
      <c r="K100" s="27">
        <f t="shared" si="4"/>
        <v>0</v>
      </c>
      <c r="L100" s="27">
        <f t="shared" si="5"/>
        <v>0</v>
      </c>
      <c r="M100" s="27">
        <f>Table43[[#This Row],[AMOUNT]]-Table43[[#This Row],[Column1]]</f>
        <v>0</v>
      </c>
      <c r="N100" s="27">
        <f>Table43[[#This Row],[Column3]]-Table43[[#This Row],[Column2]]</f>
        <v>0</v>
      </c>
      <c r="O100" s="27">
        <f>Table43[[#This Row],[Column4]]+Table43[[#This Row],[Column1]]</f>
        <v>0</v>
      </c>
      <c r="P100" s="27">
        <f>Table43[[#This Row],[Column5]]+Table43[[#This Row],[Column2]]</f>
        <v>0</v>
      </c>
      <c r="Q100" s="27">
        <f>Table43[[#This Row],[Column6]]-Table43[[#This Row],[AMOUNT]]</f>
        <v>0</v>
      </c>
      <c r="R100" s="10"/>
    </row>
    <row r="101" spans="1:18" ht="17.100000000000001" customHeight="1" x14ac:dyDescent="0.2">
      <c r="A101" s="11"/>
      <c r="C101" s="12"/>
      <c r="D101" s="93"/>
      <c r="E101" s="32"/>
      <c r="F101" s="31"/>
      <c r="G101" s="33"/>
      <c r="H101" s="33"/>
      <c r="I101" s="34"/>
      <c r="J101" s="23"/>
      <c r="K101" s="27">
        <f t="shared" si="4"/>
        <v>0</v>
      </c>
      <c r="L101" s="27">
        <f t="shared" si="5"/>
        <v>0</v>
      </c>
      <c r="M101" s="27">
        <f>Table43[[#This Row],[AMOUNT]]-Table43[[#This Row],[Column1]]</f>
        <v>0</v>
      </c>
      <c r="N101" s="27">
        <f>Table43[[#This Row],[Column3]]-Table43[[#This Row],[Column2]]</f>
        <v>0</v>
      </c>
      <c r="O101" s="27">
        <f>Table43[[#This Row],[Column4]]+Table43[[#This Row],[Column1]]</f>
        <v>0</v>
      </c>
      <c r="P101" s="27">
        <f>Table43[[#This Row],[Column5]]+Table43[[#This Row],[Column2]]</f>
        <v>0</v>
      </c>
      <c r="Q101" s="27">
        <f>Table43[[#This Row],[Column6]]-Table43[[#This Row],[AMOUNT]]</f>
        <v>0</v>
      </c>
      <c r="R101" s="10"/>
    </row>
    <row r="102" spans="1:18" ht="17.100000000000001" customHeight="1" x14ac:dyDescent="0.2">
      <c r="A102" s="11"/>
      <c r="C102" s="12"/>
      <c r="D102" s="93"/>
      <c r="E102" s="32"/>
      <c r="F102" s="31"/>
      <c r="G102" s="33"/>
      <c r="H102" s="33"/>
      <c r="I102" s="34"/>
      <c r="J102" s="23"/>
      <c r="K102" s="27">
        <f t="shared" si="4"/>
        <v>0</v>
      </c>
      <c r="L102" s="27">
        <f t="shared" si="5"/>
        <v>0</v>
      </c>
      <c r="M102" s="27">
        <f>Table43[[#This Row],[AMOUNT]]-Table43[[#This Row],[Column1]]</f>
        <v>0</v>
      </c>
      <c r="N102" s="27">
        <f>Table43[[#This Row],[Column3]]-Table43[[#This Row],[Column2]]</f>
        <v>0</v>
      </c>
      <c r="O102" s="27">
        <f>Table43[[#This Row],[Column4]]+Table43[[#This Row],[Column1]]</f>
        <v>0</v>
      </c>
      <c r="P102" s="27">
        <f>Table43[[#This Row],[Column5]]+Table43[[#This Row],[Column2]]</f>
        <v>0</v>
      </c>
      <c r="Q102" s="27">
        <f>Table43[[#This Row],[Column6]]-Table43[[#This Row],[AMOUNT]]</f>
        <v>0</v>
      </c>
      <c r="R102" s="10"/>
    </row>
    <row r="103" spans="1:18" ht="17.100000000000001" customHeight="1" x14ac:dyDescent="0.2">
      <c r="A103" s="11"/>
      <c r="C103" s="12"/>
      <c r="D103" s="93"/>
      <c r="E103" s="32"/>
      <c r="F103" s="31"/>
      <c r="G103" s="33"/>
      <c r="H103" s="33"/>
      <c r="I103" s="34"/>
      <c r="J103" s="23"/>
      <c r="K103" s="27">
        <f t="shared" si="4"/>
        <v>0</v>
      </c>
      <c r="L103" s="27">
        <f t="shared" si="5"/>
        <v>0</v>
      </c>
      <c r="M103" s="27">
        <f>Table43[[#This Row],[AMOUNT]]-Table43[[#This Row],[Column1]]</f>
        <v>0</v>
      </c>
      <c r="N103" s="27">
        <f>Table43[[#This Row],[Column3]]-Table43[[#This Row],[Column2]]</f>
        <v>0</v>
      </c>
      <c r="O103" s="27">
        <f>Table43[[#This Row],[Column4]]+Table43[[#This Row],[Column1]]</f>
        <v>0</v>
      </c>
      <c r="P103" s="27">
        <f>Table43[[#This Row],[Column5]]+Table43[[#This Row],[Column2]]</f>
        <v>0</v>
      </c>
      <c r="Q103" s="27">
        <f>Table43[[#This Row],[Column6]]-Table43[[#This Row],[AMOUNT]]</f>
        <v>0</v>
      </c>
      <c r="R103" s="10"/>
    </row>
    <row r="104" spans="1:18" ht="17.100000000000001" customHeight="1" x14ac:dyDescent="0.2">
      <c r="A104" s="11"/>
      <c r="C104" s="12"/>
      <c r="D104" s="93"/>
      <c r="E104" s="32"/>
      <c r="F104" s="31"/>
      <c r="G104" s="33"/>
      <c r="H104" s="33"/>
      <c r="I104" s="34"/>
      <c r="J104" s="23"/>
      <c r="K104" s="27">
        <f t="shared" ref="K104:K135" si="6">I104/1.12</f>
        <v>0</v>
      </c>
      <c r="L104" s="27">
        <f t="shared" ref="L104:L135" si="7">K104*0.01</f>
        <v>0</v>
      </c>
      <c r="M104" s="27">
        <f>Table43[[#This Row],[AMOUNT]]-Table43[[#This Row],[Column1]]</f>
        <v>0</v>
      </c>
      <c r="N104" s="27">
        <f>Table43[[#This Row],[Column3]]-Table43[[#This Row],[Column2]]</f>
        <v>0</v>
      </c>
      <c r="O104" s="27">
        <f>Table43[[#This Row],[Column4]]+Table43[[#This Row],[Column1]]</f>
        <v>0</v>
      </c>
      <c r="P104" s="27">
        <f>Table43[[#This Row],[Column5]]+Table43[[#This Row],[Column2]]</f>
        <v>0</v>
      </c>
      <c r="Q104" s="27">
        <f>Table43[[#This Row],[Column6]]-Table43[[#This Row],[AMOUNT]]</f>
        <v>0</v>
      </c>
      <c r="R104" s="10"/>
    </row>
    <row r="105" spans="1:18" ht="17.100000000000001" customHeight="1" x14ac:dyDescent="0.2">
      <c r="A105" s="11"/>
      <c r="C105" s="12"/>
      <c r="D105" s="93"/>
      <c r="E105" s="32"/>
      <c r="F105" s="31"/>
      <c r="G105" s="33"/>
      <c r="H105" s="33"/>
      <c r="I105" s="34"/>
      <c r="J105" s="23"/>
      <c r="K105" s="27">
        <f t="shared" si="6"/>
        <v>0</v>
      </c>
      <c r="L105" s="27">
        <f t="shared" si="7"/>
        <v>0</v>
      </c>
      <c r="M105" s="27">
        <f>Table43[[#This Row],[AMOUNT]]-Table43[[#This Row],[Column1]]</f>
        <v>0</v>
      </c>
      <c r="N105" s="27">
        <f>Table43[[#This Row],[Column3]]-Table43[[#This Row],[Column2]]</f>
        <v>0</v>
      </c>
      <c r="O105" s="27">
        <f>Table43[[#This Row],[Column4]]+Table43[[#This Row],[Column1]]</f>
        <v>0</v>
      </c>
      <c r="P105" s="27">
        <f>Table43[[#This Row],[Column5]]+Table43[[#This Row],[Column2]]</f>
        <v>0</v>
      </c>
      <c r="Q105" s="27">
        <f>Table43[[#This Row],[Column6]]-Table43[[#This Row],[AMOUNT]]</f>
        <v>0</v>
      </c>
      <c r="R105" s="10"/>
    </row>
    <row r="106" spans="1:18" ht="17.100000000000001" customHeight="1" x14ac:dyDescent="0.2">
      <c r="A106" s="11"/>
      <c r="C106" s="12"/>
      <c r="D106" s="93"/>
      <c r="E106" s="32"/>
      <c r="F106" s="31"/>
      <c r="G106" s="33"/>
      <c r="H106" s="33"/>
      <c r="I106" s="34"/>
      <c r="J106" s="23"/>
      <c r="K106" s="27">
        <f t="shared" si="6"/>
        <v>0</v>
      </c>
      <c r="L106" s="27">
        <f t="shared" si="7"/>
        <v>0</v>
      </c>
      <c r="M106" s="27">
        <f>Table43[[#This Row],[AMOUNT]]-Table43[[#This Row],[Column1]]</f>
        <v>0</v>
      </c>
      <c r="N106" s="27">
        <f>Table43[[#This Row],[Column3]]-Table43[[#This Row],[Column2]]</f>
        <v>0</v>
      </c>
      <c r="O106" s="27">
        <f>Table43[[#This Row],[Column4]]+Table43[[#This Row],[Column1]]</f>
        <v>0</v>
      </c>
      <c r="P106" s="27">
        <f>Table43[[#This Row],[Column5]]+Table43[[#This Row],[Column2]]</f>
        <v>0</v>
      </c>
      <c r="Q106" s="27">
        <f>Table43[[#This Row],[Column6]]-Table43[[#This Row],[AMOUNT]]</f>
        <v>0</v>
      </c>
      <c r="R106" s="10"/>
    </row>
    <row r="107" spans="1:18" ht="17.100000000000001" customHeight="1" x14ac:dyDescent="0.2">
      <c r="A107" s="11"/>
      <c r="C107" s="12"/>
      <c r="D107" s="93"/>
      <c r="E107" s="32"/>
      <c r="F107" s="31"/>
      <c r="G107" s="33"/>
      <c r="H107" s="33"/>
      <c r="I107" s="34"/>
      <c r="J107" s="23"/>
      <c r="K107" s="27">
        <f t="shared" si="6"/>
        <v>0</v>
      </c>
      <c r="L107" s="27">
        <f t="shared" si="7"/>
        <v>0</v>
      </c>
      <c r="M107" s="27">
        <f>Table43[[#This Row],[AMOUNT]]-Table43[[#This Row],[Column1]]</f>
        <v>0</v>
      </c>
      <c r="N107" s="27">
        <f>Table43[[#This Row],[Column3]]-Table43[[#This Row],[Column2]]</f>
        <v>0</v>
      </c>
      <c r="O107" s="27">
        <f>Table43[[#This Row],[Column4]]+Table43[[#This Row],[Column1]]</f>
        <v>0</v>
      </c>
      <c r="P107" s="27">
        <f>Table43[[#This Row],[Column5]]+Table43[[#This Row],[Column2]]</f>
        <v>0</v>
      </c>
      <c r="Q107" s="27">
        <f>Table43[[#This Row],[Column6]]-Table43[[#This Row],[AMOUNT]]</f>
        <v>0</v>
      </c>
      <c r="R107" s="10"/>
    </row>
    <row r="108" spans="1:18" ht="17.100000000000001" customHeight="1" x14ac:dyDescent="0.2">
      <c r="A108" s="11"/>
      <c r="C108" s="12"/>
      <c r="D108" s="93"/>
      <c r="E108" s="32"/>
      <c r="F108" s="31"/>
      <c r="G108" s="33"/>
      <c r="H108" s="33"/>
      <c r="I108" s="34"/>
      <c r="J108" s="23"/>
      <c r="K108" s="27">
        <f t="shared" si="6"/>
        <v>0</v>
      </c>
      <c r="L108" s="27">
        <f t="shared" si="7"/>
        <v>0</v>
      </c>
      <c r="M108" s="27">
        <f>Table43[[#This Row],[AMOUNT]]-Table43[[#This Row],[Column1]]</f>
        <v>0</v>
      </c>
      <c r="N108" s="27">
        <f>Table43[[#This Row],[Column3]]-Table43[[#This Row],[Column2]]</f>
        <v>0</v>
      </c>
      <c r="O108" s="27">
        <f>Table43[[#This Row],[Column4]]+Table43[[#This Row],[Column1]]</f>
        <v>0</v>
      </c>
      <c r="P108" s="27">
        <f>Table43[[#This Row],[Column5]]+Table43[[#This Row],[Column2]]</f>
        <v>0</v>
      </c>
      <c r="Q108" s="27">
        <f>Table43[[#This Row],[Column6]]-Table43[[#This Row],[AMOUNT]]</f>
        <v>0</v>
      </c>
      <c r="R108" s="10"/>
    </row>
    <row r="109" spans="1:18" ht="17.100000000000001" customHeight="1" x14ac:dyDescent="0.2">
      <c r="A109" s="11"/>
      <c r="C109" s="12"/>
      <c r="D109" s="93"/>
      <c r="E109" s="32"/>
      <c r="F109" s="31"/>
      <c r="G109" s="33"/>
      <c r="H109" s="33"/>
      <c r="I109" s="34"/>
      <c r="J109" s="23"/>
      <c r="K109" s="27">
        <f t="shared" si="6"/>
        <v>0</v>
      </c>
      <c r="L109" s="27">
        <f t="shared" si="7"/>
        <v>0</v>
      </c>
      <c r="M109" s="27">
        <f>Table43[[#This Row],[AMOUNT]]-Table43[[#This Row],[Column1]]</f>
        <v>0</v>
      </c>
      <c r="N109" s="27">
        <f>Table43[[#This Row],[Column3]]-Table43[[#This Row],[Column2]]</f>
        <v>0</v>
      </c>
      <c r="O109" s="27">
        <f>Table43[[#This Row],[Column4]]+Table43[[#This Row],[Column1]]</f>
        <v>0</v>
      </c>
      <c r="P109" s="27">
        <f>Table43[[#This Row],[Column5]]+Table43[[#This Row],[Column2]]</f>
        <v>0</v>
      </c>
      <c r="Q109" s="27">
        <f>Table43[[#This Row],[Column6]]-Table43[[#This Row],[AMOUNT]]</f>
        <v>0</v>
      </c>
      <c r="R109" s="10"/>
    </row>
    <row r="110" spans="1:18" ht="17.100000000000001" customHeight="1" x14ac:dyDescent="0.2">
      <c r="A110" s="11"/>
      <c r="C110" s="12"/>
      <c r="D110" s="93"/>
      <c r="E110" s="32"/>
      <c r="F110" s="31"/>
      <c r="G110" s="33"/>
      <c r="H110" s="33"/>
      <c r="I110" s="34"/>
      <c r="J110" s="23"/>
      <c r="K110" s="27">
        <f t="shared" si="6"/>
        <v>0</v>
      </c>
      <c r="L110" s="27">
        <f t="shared" si="7"/>
        <v>0</v>
      </c>
      <c r="M110" s="27">
        <f>Table43[[#This Row],[AMOUNT]]-Table43[[#This Row],[Column1]]</f>
        <v>0</v>
      </c>
      <c r="N110" s="27">
        <f>Table43[[#This Row],[Column3]]-Table43[[#This Row],[Column2]]</f>
        <v>0</v>
      </c>
      <c r="O110" s="27">
        <f>Table43[[#This Row],[Column4]]+Table43[[#This Row],[Column1]]</f>
        <v>0</v>
      </c>
      <c r="P110" s="27">
        <f>Table43[[#This Row],[Column5]]+Table43[[#This Row],[Column2]]</f>
        <v>0</v>
      </c>
      <c r="Q110" s="27">
        <f>Table43[[#This Row],[Column6]]-Table43[[#This Row],[AMOUNT]]</f>
        <v>0</v>
      </c>
      <c r="R110" s="10"/>
    </row>
    <row r="111" spans="1:18" ht="17.100000000000001" customHeight="1" x14ac:dyDescent="0.2">
      <c r="A111" s="11"/>
      <c r="C111" s="12"/>
      <c r="D111" s="93"/>
      <c r="E111" s="32"/>
      <c r="F111" s="31"/>
      <c r="G111" s="33"/>
      <c r="H111" s="33"/>
      <c r="I111" s="34"/>
      <c r="J111" s="23"/>
      <c r="K111" s="27">
        <f t="shared" si="6"/>
        <v>0</v>
      </c>
      <c r="L111" s="27">
        <f t="shared" si="7"/>
        <v>0</v>
      </c>
      <c r="M111" s="27">
        <f>Table43[[#This Row],[AMOUNT]]-Table43[[#This Row],[Column1]]</f>
        <v>0</v>
      </c>
      <c r="N111" s="27">
        <f>Table43[[#This Row],[Column3]]-Table43[[#This Row],[Column2]]</f>
        <v>0</v>
      </c>
      <c r="O111" s="27">
        <f>Table43[[#This Row],[Column4]]+Table43[[#This Row],[Column1]]</f>
        <v>0</v>
      </c>
      <c r="P111" s="27">
        <f>Table43[[#This Row],[Column5]]+Table43[[#This Row],[Column2]]</f>
        <v>0</v>
      </c>
      <c r="Q111" s="27">
        <f>Table43[[#This Row],[Column6]]-Table43[[#This Row],[AMOUNT]]</f>
        <v>0</v>
      </c>
      <c r="R111" s="10"/>
    </row>
    <row r="112" spans="1:18" ht="17.100000000000001" customHeight="1" x14ac:dyDescent="0.2">
      <c r="A112" s="11"/>
      <c r="C112" s="12"/>
      <c r="D112" s="93"/>
      <c r="E112" s="32"/>
      <c r="F112" s="31"/>
      <c r="G112" s="33"/>
      <c r="H112" s="33"/>
      <c r="I112" s="34"/>
      <c r="J112" s="23"/>
      <c r="K112" s="27">
        <f t="shared" si="6"/>
        <v>0</v>
      </c>
      <c r="L112" s="27">
        <f t="shared" si="7"/>
        <v>0</v>
      </c>
      <c r="M112" s="27">
        <f>Table43[[#This Row],[AMOUNT]]-Table43[[#This Row],[Column1]]</f>
        <v>0</v>
      </c>
      <c r="N112" s="27">
        <f>Table43[[#This Row],[Column3]]-Table43[[#This Row],[Column2]]</f>
        <v>0</v>
      </c>
      <c r="O112" s="27">
        <f>Table43[[#This Row],[Column4]]+Table43[[#This Row],[Column1]]</f>
        <v>0</v>
      </c>
      <c r="P112" s="27">
        <f>Table43[[#This Row],[Column5]]+Table43[[#This Row],[Column2]]</f>
        <v>0</v>
      </c>
      <c r="Q112" s="27">
        <f>Table43[[#This Row],[Column6]]-Table43[[#This Row],[AMOUNT]]</f>
        <v>0</v>
      </c>
      <c r="R112" s="10"/>
    </row>
    <row r="113" spans="1:18" ht="17.100000000000001" customHeight="1" x14ac:dyDescent="0.2">
      <c r="A113" s="11"/>
      <c r="C113" s="12"/>
      <c r="D113" s="93"/>
      <c r="E113" s="32"/>
      <c r="F113" s="31"/>
      <c r="G113" s="33"/>
      <c r="H113" s="33"/>
      <c r="I113" s="34"/>
      <c r="J113" s="23"/>
      <c r="K113" s="27">
        <f t="shared" si="6"/>
        <v>0</v>
      </c>
      <c r="L113" s="27">
        <f t="shared" si="7"/>
        <v>0</v>
      </c>
      <c r="M113" s="27">
        <f>Table43[[#This Row],[AMOUNT]]-Table43[[#This Row],[Column1]]</f>
        <v>0</v>
      </c>
      <c r="N113" s="27">
        <f>Table43[[#This Row],[Column3]]-Table43[[#This Row],[Column2]]</f>
        <v>0</v>
      </c>
      <c r="O113" s="27">
        <f>Table43[[#This Row],[Column4]]+Table43[[#This Row],[Column1]]</f>
        <v>0</v>
      </c>
      <c r="P113" s="27">
        <f>Table43[[#This Row],[Column5]]+Table43[[#This Row],[Column2]]</f>
        <v>0</v>
      </c>
      <c r="Q113" s="27">
        <f>Table43[[#This Row],[Column6]]-Table43[[#This Row],[AMOUNT]]</f>
        <v>0</v>
      </c>
      <c r="R113" s="10"/>
    </row>
    <row r="114" spans="1:18" ht="17.100000000000001" customHeight="1" x14ac:dyDescent="0.2">
      <c r="A114" s="11"/>
      <c r="C114" s="12"/>
      <c r="D114" s="93"/>
      <c r="E114" s="32"/>
      <c r="F114" s="31"/>
      <c r="G114" s="33"/>
      <c r="H114" s="33"/>
      <c r="I114" s="34"/>
      <c r="J114" s="23"/>
      <c r="K114" s="27">
        <f t="shared" si="6"/>
        <v>0</v>
      </c>
      <c r="L114" s="27">
        <f t="shared" si="7"/>
        <v>0</v>
      </c>
      <c r="M114" s="27">
        <f>Table43[[#This Row],[AMOUNT]]-Table43[[#This Row],[Column1]]</f>
        <v>0</v>
      </c>
      <c r="N114" s="27">
        <f>Table43[[#This Row],[Column3]]-Table43[[#This Row],[Column2]]</f>
        <v>0</v>
      </c>
      <c r="O114" s="27">
        <f>Table43[[#This Row],[Column4]]+Table43[[#This Row],[Column1]]</f>
        <v>0</v>
      </c>
      <c r="P114" s="27">
        <f>Table43[[#This Row],[Column5]]+Table43[[#This Row],[Column2]]</f>
        <v>0</v>
      </c>
      <c r="Q114" s="27">
        <f>Table43[[#This Row],[Column6]]-Table43[[#This Row],[AMOUNT]]</f>
        <v>0</v>
      </c>
      <c r="R114" s="10"/>
    </row>
    <row r="115" spans="1:18" ht="17.100000000000001" customHeight="1" x14ac:dyDescent="0.2">
      <c r="A115" s="11"/>
      <c r="C115" s="12"/>
      <c r="D115" s="93"/>
      <c r="E115" s="32"/>
      <c r="F115" s="31"/>
      <c r="G115" s="33"/>
      <c r="H115" s="33"/>
      <c r="I115" s="34"/>
      <c r="J115" s="23"/>
      <c r="K115" s="27">
        <f t="shared" si="6"/>
        <v>0</v>
      </c>
      <c r="L115" s="27">
        <f t="shared" si="7"/>
        <v>0</v>
      </c>
      <c r="M115" s="27">
        <f>Table43[[#This Row],[AMOUNT]]-Table43[[#This Row],[Column1]]</f>
        <v>0</v>
      </c>
      <c r="N115" s="27">
        <f>Table43[[#This Row],[Column3]]-Table43[[#This Row],[Column2]]</f>
        <v>0</v>
      </c>
      <c r="O115" s="27">
        <f>Table43[[#This Row],[Column4]]+Table43[[#This Row],[Column1]]</f>
        <v>0</v>
      </c>
      <c r="P115" s="27">
        <f>Table43[[#This Row],[Column5]]+Table43[[#This Row],[Column2]]</f>
        <v>0</v>
      </c>
      <c r="Q115" s="27">
        <f>Table43[[#This Row],[Column6]]-Table43[[#This Row],[AMOUNT]]</f>
        <v>0</v>
      </c>
      <c r="R115" s="10"/>
    </row>
    <row r="116" spans="1:18" ht="17.100000000000001" customHeight="1" x14ac:dyDescent="0.2">
      <c r="A116" s="11"/>
      <c r="C116" s="12"/>
      <c r="D116" s="93"/>
      <c r="E116" s="32"/>
      <c r="F116" s="31"/>
      <c r="G116" s="33"/>
      <c r="H116" s="33"/>
      <c r="I116" s="34"/>
      <c r="J116" s="23"/>
      <c r="K116" s="27">
        <f t="shared" si="6"/>
        <v>0</v>
      </c>
      <c r="L116" s="27">
        <f t="shared" si="7"/>
        <v>0</v>
      </c>
      <c r="M116" s="27">
        <f>Table43[[#This Row],[AMOUNT]]-Table43[[#This Row],[Column1]]</f>
        <v>0</v>
      </c>
      <c r="N116" s="27">
        <f>Table43[[#This Row],[Column3]]-Table43[[#This Row],[Column2]]</f>
        <v>0</v>
      </c>
      <c r="O116" s="27">
        <f>Table43[[#This Row],[Column4]]+Table43[[#This Row],[Column1]]</f>
        <v>0</v>
      </c>
      <c r="P116" s="27">
        <f>Table43[[#This Row],[Column5]]+Table43[[#This Row],[Column2]]</f>
        <v>0</v>
      </c>
      <c r="Q116" s="27">
        <f>Table43[[#This Row],[Column6]]-Table43[[#This Row],[AMOUNT]]</f>
        <v>0</v>
      </c>
      <c r="R116" s="10"/>
    </row>
    <row r="117" spans="1:18" ht="17.100000000000001" customHeight="1" x14ac:dyDescent="0.2">
      <c r="A117" s="11"/>
      <c r="C117" s="12"/>
      <c r="D117" s="93"/>
      <c r="E117" s="32"/>
      <c r="F117" s="31"/>
      <c r="G117" s="33"/>
      <c r="H117" s="33"/>
      <c r="I117" s="34"/>
      <c r="J117" s="23"/>
      <c r="K117" s="27">
        <f t="shared" si="6"/>
        <v>0</v>
      </c>
      <c r="L117" s="27">
        <f t="shared" si="7"/>
        <v>0</v>
      </c>
      <c r="M117" s="27">
        <f>Table43[[#This Row],[AMOUNT]]-Table43[[#This Row],[Column1]]</f>
        <v>0</v>
      </c>
      <c r="N117" s="27">
        <f>Table43[[#This Row],[Column3]]-Table43[[#This Row],[Column2]]</f>
        <v>0</v>
      </c>
      <c r="O117" s="27">
        <f>Table43[[#This Row],[Column4]]+Table43[[#This Row],[Column1]]</f>
        <v>0</v>
      </c>
      <c r="P117" s="27">
        <f>Table43[[#This Row],[Column5]]+Table43[[#This Row],[Column2]]</f>
        <v>0</v>
      </c>
      <c r="Q117" s="27">
        <f>Table43[[#This Row],[Column6]]-Table43[[#This Row],[AMOUNT]]</f>
        <v>0</v>
      </c>
      <c r="R117" s="10"/>
    </row>
    <row r="118" spans="1:18" ht="17.100000000000001" customHeight="1" x14ac:dyDescent="0.2">
      <c r="A118" s="11"/>
      <c r="C118" s="12"/>
      <c r="D118" s="93"/>
      <c r="E118" s="32"/>
      <c r="F118" s="31"/>
      <c r="G118" s="33"/>
      <c r="H118" s="33"/>
      <c r="I118" s="34"/>
      <c r="J118" s="23"/>
      <c r="K118" s="27">
        <f t="shared" si="6"/>
        <v>0</v>
      </c>
      <c r="L118" s="27">
        <f t="shared" si="7"/>
        <v>0</v>
      </c>
      <c r="M118" s="27">
        <f>Table43[[#This Row],[AMOUNT]]-Table43[[#This Row],[Column1]]</f>
        <v>0</v>
      </c>
      <c r="N118" s="27">
        <f>Table43[[#This Row],[Column3]]-Table43[[#This Row],[Column2]]</f>
        <v>0</v>
      </c>
      <c r="O118" s="27">
        <f>Table43[[#This Row],[Column4]]+Table43[[#This Row],[Column1]]</f>
        <v>0</v>
      </c>
      <c r="P118" s="27">
        <f>Table43[[#This Row],[Column5]]+Table43[[#This Row],[Column2]]</f>
        <v>0</v>
      </c>
      <c r="Q118" s="27">
        <f>Table43[[#This Row],[Column6]]-Table43[[#This Row],[AMOUNT]]</f>
        <v>0</v>
      </c>
      <c r="R118" s="10"/>
    </row>
    <row r="119" spans="1:18" ht="17.100000000000001" customHeight="1" x14ac:dyDescent="0.2">
      <c r="A119" s="11"/>
      <c r="C119" s="12"/>
      <c r="D119" s="93"/>
      <c r="E119" s="32"/>
      <c r="F119" s="31"/>
      <c r="G119" s="33"/>
      <c r="H119" s="33"/>
      <c r="I119" s="34"/>
      <c r="J119" s="23"/>
      <c r="K119" s="27">
        <f t="shared" si="6"/>
        <v>0</v>
      </c>
      <c r="L119" s="27">
        <f t="shared" si="7"/>
        <v>0</v>
      </c>
      <c r="M119" s="27">
        <f>Table43[[#This Row],[AMOUNT]]-Table43[[#This Row],[Column1]]</f>
        <v>0</v>
      </c>
      <c r="N119" s="27">
        <f>Table43[[#This Row],[Column3]]-Table43[[#This Row],[Column2]]</f>
        <v>0</v>
      </c>
      <c r="O119" s="27">
        <f>Table43[[#This Row],[Column4]]+Table43[[#This Row],[Column1]]</f>
        <v>0</v>
      </c>
      <c r="P119" s="27">
        <f>Table43[[#This Row],[Column5]]+Table43[[#This Row],[Column2]]</f>
        <v>0</v>
      </c>
      <c r="Q119" s="27">
        <f>Table43[[#This Row],[Column6]]-Table43[[#This Row],[AMOUNT]]</f>
        <v>0</v>
      </c>
      <c r="R119" s="10"/>
    </row>
    <row r="120" spans="1:18" ht="17.100000000000001" customHeight="1" x14ac:dyDescent="0.2">
      <c r="A120" s="11"/>
      <c r="C120" s="12"/>
      <c r="D120" s="93"/>
      <c r="E120" s="32"/>
      <c r="F120" s="31"/>
      <c r="G120" s="33"/>
      <c r="H120" s="33"/>
      <c r="I120" s="34"/>
      <c r="J120" s="23"/>
      <c r="K120" s="27">
        <f t="shared" si="6"/>
        <v>0</v>
      </c>
      <c r="L120" s="27">
        <f t="shared" si="7"/>
        <v>0</v>
      </c>
      <c r="M120" s="27">
        <f>Table43[[#This Row],[AMOUNT]]-Table43[[#This Row],[Column1]]</f>
        <v>0</v>
      </c>
      <c r="N120" s="27">
        <f>Table43[[#This Row],[Column3]]-Table43[[#This Row],[Column2]]</f>
        <v>0</v>
      </c>
      <c r="O120" s="27">
        <f>Table43[[#This Row],[Column4]]+Table43[[#This Row],[Column1]]</f>
        <v>0</v>
      </c>
      <c r="P120" s="27">
        <f>Table43[[#This Row],[Column5]]+Table43[[#This Row],[Column2]]</f>
        <v>0</v>
      </c>
      <c r="Q120" s="27">
        <f>Table43[[#This Row],[Column6]]-Table43[[#This Row],[AMOUNT]]</f>
        <v>0</v>
      </c>
      <c r="R120" s="10"/>
    </row>
    <row r="121" spans="1:18" ht="17.100000000000001" customHeight="1" x14ac:dyDescent="0.2">
      <c r="A121" s="11"/>
      <c r="C121" s="12"/>
      <c r="D121" s="93"/>
      <c r="E121" s="32"/>
      <c r="F121" s="31"/>
      <c r="G121" s="33"/>
      <c r="H121" s="33"/>
      <c r="I121" s="34"/>
      <c r="J121" s="23"/>
      <c r="K121" s="27">
        <f t="shared" si="6"/>
        <v>0</v>
      </c>
      <c r="L121" s="27">
        <f t="shared" si="7"/>
        <v>0</v>
      </c>
      <c r="M121" s="27">
        <f>Table43[[#This Row],[AMOUNT]]-Table43[[#This Row],[Column1]]</f>
        <v>0</v>
      </c>
      <c r="N121" s="27">
        <f>Table43[[#This Row],[Column3]]-Table43[[#This Row],[Column2]]</f>
        <v>0</v>
      </c>
      <c r="O121" s="27">
        <f>Table43[[#This Row],[Column4]]+Table43[[#This Row],[Column1]]</f>
        <v>0</v>
      </c>
      <c r="P121" s="27">
        <f>Table43[[#This Row],[Column5]]+Table43[[#This Row],[Column2]]</f>
        <v>0</v>
      </c>
      <c r="Q121" s="27">
        <f>Table43[[#This Row],[Column6]]-Table43[[#This Row],[AMOUNT]]</f>
        <v>0</v>
      </c>
      <c r="R121" s="10"/>
    </row>
    <row r="122" spans="1:18" ht="17.100000000000001" customHeight="1" x14ac:dyDescent="0.2">
      <c r="A122" s="11"/>
      <c r="C122" s="12"/>
      <c r="D122" s="93"/>
      <c r="E122" s="32"/>
      <c r="F122" s="31"/>
      <c r="G122" s="33"/>
      <c r="H122" s="33"/>
      <c r="I122" s="34"/>
      <c r="J122" s="23"/>
      <c r="K122" s="27">
        <f t="shared" si="6"/>
        <v>0</v>
      </c>
      <c r="L122" s="27">
        <f t="shared" si="7"/>
        <v>0</v>
      </c>
      <c r="M122" s="27">
        <f>Table43[[#This Row],[AMOUNT]]-Table43[[#This Row],[Column1]]</f>
        <v>0</v>
      </c>
      <c r="N122" s="27">
        <f>Table43[[#This Row],[Column3]]-Table43[[#This Row],[Column2]]</f>
        <v>0</v>
      </c>
      <c r="O122" s="27">
        <f>Table43[[#This Row],[Column4]]+Table43[[#This Row],[Column1]]</f>
        <v>0</v>
      </c>
      <c r="P122" s="27">
        <f>Table43[[#This Row],[Column5]]+Table43[[#This Row],[Column2]]</f>
        <v>0</v>
      </c>
      <c r="Q122" s="27">
        <f>Table43[[#This Row],[Column6]]-Table43[[#This Row],[AMOUNT]]</f>
        <v>0</v>
      </c>
      <c r="R122" s="10"/>
    </row>
    <row r="123" spans="1:18" ht="17.100000000000001" customHeight="1" x14ac:dyDescent="0.2">
      <c r="A123" s="11"/>
      <c r="C123" s="12"/>
      <c r="D123" s="93"/>
      <c r="E123" s="32"/>
      <c r="F123" s="31"/>
      <c r="G123" s="33"/>
      <c r="H123" s="33"/>
      <c r="I123" s="34"/>
      <c r="J123" s="23"/>
      <c r="K123" s="27">
        <f t="shared" si="6"/>
        <v>0</v>
      </c>
      <c r="L123" s="27">
        <f t="shared" si="7"/>
        <v>0</v>
      </c>
      <c r="M123" s="27">
        <f>Table43[[#This Row],[AMOUNT]]-Table43[[#This Row],[Column1]]</f>
        <v>0</v>
      </c>
      <c r="N123" s="27">
        <f>Table43[[#This Row],[Column3]]-Table43[[#This Row],[Column2]]</f>
        <v>0</v>
      </c>
      <c r="O123" s="27">
        <f>Table43[[#This Row],[Column4]]+Table43[[#This Row],[Column1]]</f>
        <v>0</v>
      </c>
      <c r="P123" s="27">
        <f>Table43[[#This Row],[Column5]]+Table43[[#This Row],[Column2]]</f>
        <v>0</v>
      </c>
      <c r="Q123" s="27">
        <f>Table43[[#This Row],[Column6]]-Table43[[#This Row],[AMOUNT]]</f>
        <v>0</v>
      </c>
      <c r="R123" s="10"/>
    </row>
    <row r="124" spans="1:18" ht="17.100000000000001" customHeight="1" x14ac:dyDescent="0.2">
      <c r="A124" s="11"/>
      <c r="C124" s="12"/>
      <c r="D124" s="93"/>
      <c r="E124" s="32"/>
      <c r="F124" s="31"/>
      <c r="G124" s="33"/>
      <c r="H124" s="33"/>
      <c r="I124" s="34"/>
      <c r="J124" s="23"/>
      <c r="K124" s="27">
        <f t="shared" si="6"/>
        <v>0</v>
      </c>
      <c r="L124" s="27">
        <f t="shared" si="7"/>
        <v>0</v>
      </c>
      <c r="M124" s="27">
        <f>Table43[[#This Row],[AMOUNT]]-Table43[[#This Row],[Column1]]</f>
        <v>0</v>
      </c>
      <c r="N124" s="27">
        <f>Table43[[#This Row],[Column3]]-Table43[[#This Row],[Column2]]</f>
        <v>0</v>
      </c>
      <c r="O124" s="27">
        <f>Table43[[#This Row],[Column4]]+Table43[[#This Row],[Column1]]</f>
        <v>0</v>
      </c>
      <c r="P124" s="27">
        <f>Table43[[#This Row],[Column5]]+Table43[[#This Row],[Column2]]</f>
        <v>0</v>
      </c>
      <c r="Q124" s="27">
        <f>Table43[[#This Row],[Column6]]-Table43[[#This Row],[AMOUNT]]</f>
        <v>0</v>
      </c>
      <c r="R124" s="10"/>
    </row>
    <row r="125" spans="1:18" ht="17.100000000000001" customHeight="1" x14ac:dyDescent="0.2">
      <c r="A125" s="11"/>
      <c r="C125" s="12"/>
      <c r="D125" s="93"/>
      <c r="E125" s="32"/>
      <c r="F125" s="31"/>
      <c r="G125" s="33"/>
      <c r="H125" s="33"/>
      <c r="I125" s="34"/>
      <c r="J125" s="23"/>
      <c r="K125" s="27">
        <f t="shared" si="6"/>
        <v>0</v>
      </c>
      <c r="L125" s="27">
        <f t="shared" si="7"/>
        <v>0</v>
      </c>
      <c r="M125" s="27">
        <f>Table43[[#This Row],[AMOUNT]]-Table43[[#This Row],[Column1]]</f>
        <v>0</v>
      </c>
      <c r="N125" s="27">
        <f>Table43[[#This Row],[Column3]]-Table43[[#This Row],[Column2]]</f>
        <v>0</v>
      </c>
      <c r="O125" s="27">
        <f>Table43[[#This Row],[Column4]]+Table43[[#This Row],[Column1]]</f>
        <v>0</v>
      </c>
      <c r="P125" s="27">
        <f>Table43[[#This Row],[Column5]]+Table43[[#This Row],[Column2]]</f>
        <v>0</v>
      </c>
      <c r="Q125" s="27">
        <f>Table43[[#This Row],[Column6]]-Table43[[#This Row],[AMOUNT]]</f>
        <v>0</v>
      </c>
      <c r="R125" s="10"/>
    </row>
    <row r="126" spans="1:18" ht="17.100000000000001" customHeight="1" x14ac:dyDescent="0.2">
      <c r="A126" s="11"/>
      <c r="C126" s="12"/>
      <c r="D126" s="93"/>
      <c r="E126" s="32"/>
      <c r="F126" s="31"/>
      <c r="G126" s="33"/>
      <c r="H126" s="33"/>
      <c r="I126" s="34"/>
      <c r="J126" s="23"/>
      <c r="K126" s="27">
        <f t="shared" si="6"/>
        <v>0</v>
      </c>
      <c r="L126" s="27">
        <f t="shared" si="7"/>
        <v>0</v>
      </c>
      <c r="M126" s="27">
        <f>Table43[[#This Row],[AMOUNT]]-Table43[[#This Row],[Column1]]</f>
        <v>0</v>
      </c>
      <c r="N126" s="27">
        <f>Table43[[#This Row],[Column3]]-Table43[[#This Row],[Column2]]</f>
        <v>0</v>
      </c>
      <c r="O126" s="27">
        <f>Table43[[#This Row],[Column4]]+Table43[[#This Row],[Column1]]</f>
        <v>0</v>
      </c>
      <c r="P126" s="27">
        <f>Table43[[#This Row],[Column5]]+Table43[[#This Row],[Column2]]</f>
        <v>0</v>
      </c>
      <c r="Q126" s="27">
        <f>Table43[[#This Row],[Column6]]-Table43[[#This Row],[AMOUNT]]</f>
        <v>0</v>
      </c>
      <c r="R126" s="10"/>
    </row>
    <row r="127" spans="1:18" ht="17.100000000000001" customHeight="1" x14ac:dyDescent="0.2">
      <c r="A127" s="11"/>
      <c r="C127" s="12"/>
      <c r="D127" s="93"/>
      <c r="E127" s="32"/>
      <c r="F127" s="31"/>
      <c r="G127" s="33"/>
      <c r="H127" s="33"/>
      <c r="I127" s="34"/>
      <c r="J127" s="23"/>
      <c r="K127" s="27">
        <f t="shared" si="6"/>
        <v>0</v>
      </c>
      <c r="L127" s="27">
        <f t="shared" si="7"/>
        <v>0</v>
      </c>
      <c r="M127" s="27">
        <f>Table43[[#This Row],[AMOUNT]]-Table43[[#This Row],[Column1]]</f>
        <v>0</v>
      </c>
      <c r="N127" s="27">
        <f>Table43[[#This Row],[Column3]]-Table43[[#This Row],[Column2]]</f>
        <v>0</v>
      </c>
      <c r="O127" s="27">
        <f>Table43[[#This Row],[Column4]]+Table43[[#This Row],[Column1]]</f>
        <v>0</v>
      </c>
      <c r="P127" s="27">
        <f>Table43[[#This Row],[Column5]]+Table43[[#This Row],[Column2]]</f>
        <v>0</v>
      </c>
      <c r="Q127" s="27">
        <f>Table43[[#This Row],[Column6]]-Table43[[#This Row],[AMOUNT]]</f>
        <v>0</v>
      </c>
      <c r="R127" s="10"/>
    </row>
    <row r="128" spans="1:18" ht="17.100000000000001" customHeight="1" x14ac:dyDescent="0.2">
      <c r="A128" s="11"/>
      <c r="C128" s="12"/>
      <c r="D128" s="93"/>
      <c r="E128" s="32"/>
      <c r="F128" s="31"/>
      <c r="G128" s="33"/>
      <c r="H128" s="33"/>
      <c r="I128" s="34"/>
      <c r="J128" s="23"/>
      <c r="K128" s="27">
        <f t="shared" si="6"/>
        <v>0</v>
      </c>
      <c r="L128" s="27">
        <f t="shared" si="7"/>
        <v>0</v>
      </c>
      <c r="M128" s="27">
        <f>Table43[[#This Row],[AMOUNT]]-Table43[[#This Row],[Column1]]</f>
        <v>0</v>
      </c>
      <c r="N128" s="27">
        <f>Table43[[#This Row],[Column3]]-Table43[[#This Row],[Column2]]</f>
        <v>0</v>
      </c>
      <c r="O128" s="27">
        <f>Table43[[#This Row],[Column4]]+Table43[[#This Row],[Column1]]</f>
        <v>0</v>
      </c>
      <c r="P128" s="27">
        <f>Table43[[#This Row],[Column5]]+Table43[[#This Row],[Column2]]</f>
        <v>0</v>
      </c>
      <c r="Q128" s="27">
        <f>Table43[[#This Row],[Column6]]-Table43[[#This Row],[AMOUNT]]</f>
        <v>0</v>
      </c>
      <c r="R128" s="10"/>
    </row>
    <row r="129" spans="1:18" ht="17.100000000000001" customHeight="1" x14ac:dyDescent="0.2">
      <c r="A129" s="11"/>
      <c r="C129" s="12"/>
      <c r="D129" s="93"/>
      <c r="E129" s="32"/>
      <c r="F129" s="31"/>
      <c r="G129" s="33"/>
      <c r="H129" s="33"/>
      <c r="I129" s="34"/>
      <c r="J129" s="23"/>
      <c r="K129" s="27">
        <f t="shared" si="6"/>
        <v>0</v>
      </c>
      <c r="L129" s="27">
        <f t="shared" si="7"/>
        <v>0</v>
      </c>
      <c r="M129" s="27">
        <f>Table43[[#This Row],[AMOUNT]]-Table43[[#This Row],[Column1]]</f>
        <v>0</v>
      </c>
      <c r="N129" s="27">
        <f>Table43[[#This Row],[Column3]]-Table43[[#This Row],[Column2]]</f>
        <v>0</v>
      </c>
      <c r="O129" s="27">
        <f>Table43[[#This Row],[Column4]]+Table43[[#This Row],[Column1]]</f>
        <v>0</v>
      </c>
      <c r="P129" s="27">
        <f>Table43[[#This Row],[Column5]]+Table43[[#This Row],[Column2]]</f>
        <v>0</v>
      </c>
      <c r="Q129" s="27">
        <f>Table43[[#This Row],[Column6]]-Table43[[#This Row],[AMOUNT]]</f>
        <v>0</v>
      </c>
      <c r="R129" s="10"/>
    </row>
    <row r="130" spans="1:18" ht="17.100000000000001" customHeight="1" x14ac:dyDescent="0.2">
      <c r="A130" s="11"/>
      <c r="C130" s="12"/>
      <c r="D130" s="93"/>
      <c r="E130" s="32"/>
      <c r="F130" s="31"/>
      <c r="G130" s="33"/>
      <c r="H130" s="33"/>
      <c r="I130" s="34"/>
      <c r="J130" s="23"/>
      <c r="K130" s="27">
        <f t="shared" si="6"/>
        <v>0</v>
      </c>
      <c r="L130" s="27">
        <f t="shared" si="7"/>
        <v>0</v>
      </c>
      <c r="M130" s="27">
        <f>Table43[[#This Row],[AMOUNT]]-Table43[[#This Row],[Column1]]</f>
        <v>0</v>
      </c>
      <c r="N130" s="27">
        <f>Table43[[#This Row],[Column3]]-Table43[[#This Row],[Column2]]</f>
        <v>0</v>
      </c>
      <c r="O130" s="27">
        <f>Table43[[#This Row],[Column4]]+Table43[[#This Row],[Column1]]</f>
        <v>0</v>
      </c>
      <c r="P130" s="27">
        <f>Table43[[#This Row],[Column5]]+Table43[[#This Row],[Column2]]</f>
        <v>0</v>
      </c>
      <c r="Q130" s="27">
        <f>Table43[[#This Row],[Column6]]-Table43[[#This Row],[AMOUNT]]</f>
        <v>0</v>
      </c>
      <c r="R130" s="10"/>
    </row>
    <row r="131" spans="1:18" ht="17.100000000000001" customHeight="1" x14ac:dyDescent="0.2">
      <c r="A131" s="11"/>
      <c r="C131" s="12"/>
      <c r="D131" s="93"/>
      <c r="E131" s="32"/>
      <c r="F131" s="31"/>
      <c r="G131" s="33"/>
      <c r="H131" s="33"/>
      <c r="I131" s="34"/>
      <c r="J131" s="23"/>
      <c r="K131" s="27">
        <f t="shared" si="6"/>
        <v>0</v>
      </c>
      <c r="L131" s="27">
        <f t="shared" si="7"/>
        <v>0</v>
      </c>
      <c r="M131" s="27">
        <f>Table43[[#This Row],[AMOUNT]]-Table43[[#This Row],[Column1]]</f>
        <v>0</v>
      </c>
      <c r="N131" s="27">
        <f>Table43[[#This Row],[Column3]]-Table43[[#This Row],[Column2]]</f>
        <v>0</v>
      </c>
      <c r="O131" s="27">
        <f>Table43[[#This Row],[Column4]]+Table43[[#This Row],[Column1]]</f>
        <v>0</v>
      </c>
      <c r="P131" s="27">
        <f>Table43[[#This Row],[Column5]]+Table43[[#This Row],[Column2]]</f>
        <v>0</v>
      </c>
      <c r="Q131" s="27">
        <f>Table43[[#This Row],[Column6]]-Table43[[#This Row],[AMOUNT]]</f>
        <v>0</v>
      </c>
      <c r="R131" s="10"/>
    </row>
    <row r="132" spans="1:18" ht="17.100000000000001" customHeight="1" x14ac:dyDescent="0.2">
      <c r="A132" s="11"/>
      <c r="C132" s="12"/>
      <c r="D132" s="93"/>
      <c r="E132" s="32"/>
      <c r="F132" s="31"/>
      <c r="G132" s="33"/>
      <c r="H132" s="33"/>
      <c r="I132" s="34"/>
      <c r="J132" s="23"/>
      <c r="K132" s="27">
        <f t="shared" si="6"/>
        <v>0</v>
      </c>
      <c r="L132" s="27">
        <f t="shared" si="7"/>
        <v>0</v>
      </c>
      <c r="M132" s="27">
        <f>Table43[[#This Row],[AMOUNT]]-Table43[[#This Row],[Column1]]</f>
        <v>0</v>
      </c>
      <c r="N132" s="27">
        <f>Table43[[#This Row],[Column3]]-Table43[[#This Row],[Column2]]</f>
        <v>0</v>
      </c>
      <c r="O132" s="27">
        <f>Table43[[#This Row],[Column4]]+Table43[[#This Row],[Column1]]</f>
        <v>0</v>
      </c>
      <c r="P132" s="27">
        <f>Table43[[#This Row],[Column5]]+Table43[[#This Row],[Column2]]</f>
        <v>0</v>
      </c>
      <c r="Q132" s="27">
        <f>Table43[[#This Row],[Column6]]-Table43[[#This Row],[AMOUNT]]</f>
        <v>0</v>
      </c>
      <c r="R132" s="10"/>
    </row>
    <row r="133" spans="1:18" ht="17.100000000000001" customHeight="1" x14ac:dyDescent="0.2">
      <c r="A133" s="11"/>
      <c r="C133" s="12"/>
      <c r="D133" s="93"/>
      <c r="E133" s="32"/>
      <c r="F133" s="31"/>
      <c r="G133" s="33"/>
      <c r="H133" s="33"/>
      <c r="I133" s="34"/>
      <c r="J133" s="23"/>
      <c r="K133" s="27">
        <f t="shared" si="6"/>
        <v>0</v>
      </c>
      <c r="L133" s="27">
        <f t="shared" si="7"/>
        <v>0</v>
      </c>
      <c r="M133" s="27">
        <f>Table43[[#This Row],[AMOUNT]]-Table43[[#This Row],[Column1]]</f>
        <v>0</v>
      </c>
      <c r="N133" s="27">
        <f>Table43[[#This Row],[Column3]]-Table43[[#This Row],[Column2]]</f>
        <v>0</v>
      </c>
      <c r="O133" s="27">
        <f>Table43[[#This Row],[Column4]]+Table43[[#This Row],[Column1]]</f>
        <v>0</v>
      </c>
      <c r="P133" s="27">
        <f>Table43[[#This Row],[Column5]]+Table43[[#This Row],[Column2]]</f>
        <v>0</v>
      </c>
      <c r="Q133" s="27">
        <f>Table43[[#This Row],[Column6]]-Table43[[#This Row],[AMOUNT]]</f>
        <v>0</v>
      </c>
      <c r="R133" s="10"/>
    </row>
    <row r="134" spans="1:18" ht="17.100000000000001" customHeight="1" x14ac:dyDescent="0.2">
      <c r="A134" s="11"/>
      <c r="C134" s="12"/>
      <c r="D134" s="93"/>
      <c r="E134" s="32"/>
      <c r="F134" s="31"/>
      <c r="G134" s="33"/>
      <c r="H134" s="33"/>
      <c r="I134" s="34"/>
      <c r="J134" s="23"/>
      <c r="K134" s="27">
        <f t="shared" si="6"/>
        <v>0</v>
      </c>
      <c r="L134" s="27">
        <f t="shared" si="7"/>
        <v>0</v>
      </c>
      <c r="M134" s="27">
        <f>Table43[[#This Row],[AMOUNT]]-Table43[[#This Row],[Column1]]</f>
        <v>0</v>
      </c>
      <c r="N134" s="27">
        <f>Table43[[#This Row],[Column3]]-Table43[[#This Row],[Column2]]</f>
        <v>0</v>
      </c>
      <c r="O134" s="27">
        <f>Table43[[#This Row],[Column4]]+Table43[[#This Row],[Column1]]</f>
        <v>0</v>
      </c>
      <c r="P134" s="27">
        <f>Table43[[#This Row],[Column5]]+Table43[[#This Row],[Column2]]</f>
        <v>0</v>
      </c>
      <c r="Q134" s="27">
        <f>Table43[[#This Row],[Column6]]-Table43[[#This Row],[AMOUNT]]</f>
        <v>0</v>
      </c>
      <c r="R134" s="10"/>
    </row>
    <row r="135" spans="1:18" ht="17.100000000000001" customHeight="1" x14ac:dyDescent="0.2">
      <c r="A135" s="11"/>
      <c r="C135" s="12"/>
      <c r="D135" s="93"/>
      <c r="E135" s="32"/>
      <c r="F135" s="31"/>
      <c r="G135" s="33"/>
      <c r="H135" s="33"/>
      <c r="I135" s="34"/>
      <c r="J135" s="23"/>
      <c r="K135" s="27">
        <f t="shared" si="6"/>
        <v>0</v>
      </c>
      <c r="L135" s="27">
        <f t="shared" si="7"/>
        <v>0</v>
      </c>
      <c r="M135" s="27">
        <f>Table43[[#This Row],[AMOUNT]]-Table43[[#This Row],[Column1]]</f>
        <v>0</v>
      </c>
      <c r="N135" s="27">
        <f>Table43[[#This Row],[Column3]]-Table43[[#This Row],[Column2]]</f>
        <v>0</v>
      </c>
      <c r="O135" s="27">
        <f>Table43[[#This Row],[Column4]]+Table43[[#This Row],[Column1]]</f>
        <v>0</v>
      </c>
      <c r="P135" s="27">
        <f>Table43[[#This Row],[Column5]]+Table43[[#This Row],[Column2]]</f>
        <v>0</v>
      </c>
      <c r="Q135" s="27">
        <f>Table43[[#This Row],[Column6]]-Table43[[#This Row],[AMOUNT]]</f>
        <v>0</v>
      </c>
    </row>
    <row r="136" spans="1:18" ht="17.100000000000001" customHeight="1" x14ac:dyDescent="0.2">
      <c r="A136" s="11"/>
      <c r="C136" s="12"/>
      <c r="D136" s="93"/>
      <c r="E136" s="32"/>
      <c r="F136" s="31"/>
      <c r="G136" s="33"/>
      <c r="H136" s="33"/>
      <c r="I136" s="34"/>
      <c r="J136" s="23"/>
      <c r="K136" s="27">
        <f t="shared" ref="K136:K167" si="8">I136/1.12</f>
        <v>0</v>
      </c>
      <c r="L136" s="27">
        <f t="shared" ref="L136:L167" si="9">K136*0.01</f>
        <v>0</v>
      </c>
      <c r="M136" s="27">
        <f>Table43[[#This Row],[AMOUNT]]-Table43[[#This Row],[Column1]]</f>
        <v>0</v>
      </c>
      <c r="N136" s="27">
        <f>Table43[[#This Row],[Column3]]-Table43[[#This Row],[Column2]]</f>
        <v>0</v>
      </c>
      <c r="O136" s="27">
        <f>Table43[[#This Row],[Column4]]+Table43[[#This Row],[Column1]]</f>
        <v>0</v>
      </c>
      <c r="P136" s="27">
        <f>Table43[[#This Row],[Column5]]+Table43[[#This Row],[Column2]]</f>
        <v>0</v>
      </c>
      <c r="Q136" s="27">
        <f>Table43[[#This Row],[Column6]]-Table43[[#This Row],[AMOUNT]]</f>
        <v>0</v>
      </c>
    </row>
    <row r="137" spans="1:18" ht="17.100000000000001" customHeight="1" x14ac:dyDescent="0.2">
      <c r="A137" s="11"/>
      <c r="C137" s="12"/>
      <c r="D137" s="93"/>
      <c r="E137" s="32"/>
      <c r="F137" s="31"/>
      <c r="G137" s="33"/>
      <c r="H137" s="33"/>
      <c r="I137" s="34"/>
      <c r="J137" s="23"/>
      <c r="K137" s="27">
        <f t="shared" si="8"/>
        <v>0</v>
      </c>
      <c r="L137" s="27">
        <f t="shared" si="9"/>
        <v>0</v>
      </c>
      <c r="M137" s="27">
        <f>Table43[[#This Row],[AMOUNT]]-Table43[[#This Row],[Column1]]</f>
        <v>0</v>
      </c>
      <c r="N137" s="27">
        <f>Table43[[#This Row],[Column3]]-Table43[[#This Row],[Column2]]</f>
        <v>0</v>
      </c>
      <c r="O137" s="27">
        <f>Table43[[#This Row],[Column4]]+Table43[[#This Row],[Column1]]</f>
        <v>0</v>
      </c>
      <c r="P137" s="27">
        <f>Table43[[#This Row],[Column5]]+Table43[[#This Row],[Column2]]</f>
        <v>0</v>
      </c>
      <c r="Q137" s="27">
        <f>Table43[[#This Row],[Column6]]-Table43[[#This Row],[AMOUNT]]</f>
        <v>0</v>
      </c>
    </row>
    <row r="138" spans="1:18" ht="17.100000000000001" customHeight="1" x14ac:dyDescent="0.2">
      <c r="A138" s="11"/>
      <c r="C138" s="12"/>
      <c r="D138" s="93"/>
      <c r="E138" s="32"/>
      <c r="F138" s="31"/>
      <c r="G138" s="33"/>
      <c r="H138" s="33"/>
      <c r="I138" s="34"/>
      <c r="J138" s="23"/>
      <c r="K138" s="27">
        <f t="shared" si="8"/>
        <v>0</v>
      </c>
      <c r="L138" s="27">
        <f t="shared" si="9"/>
        <v>0</v>
      </c>
      <c r="M138" s="27">
        <f>Table43[[#This Row],[AMOUNT]]-Table43[[#This Row],[Column1]]</f>
        <v>0</v>
      </c>
      <c r="N138" s="27">
        <f>Table43[[#This Row],[Column3]]-Table43[[#This Row],[Column2]]</f>
        <v>0</v>
      </c>
      <c r="O138" s="27">
        <f>Table43[[#This Row],[Column4]]+Table43[[#This Row],[Column1]]</f>
        <v>0</v>
      </c>
      <c r="P138" s="27">
        <f>Table43[[#This Row],[Column5]]+Table43[[#This Row],[Column2]]</f>
        <v>0</v>
      </c>
      <c r="Q138" s="27">
        <f>Table43[[#This Row],[Column6]]-Table43[[#This Row],[AMOUNT]]</f>
        <v>0</v>
      </c>
    </row>
    <row r="139" spans="1:18" ht="17.100000000000001" customHeight="1" x14ac:dyDescent="0.2">
      <c r="A139" s="11"/>
      <c r="C139" s="12"/>
      <c r="D139" s="93"/>
      <c r="E139" s="32"/>
      <c r="F139" s="31"/>
      <c r="G139" s="33"/>
      <c r="H139" s="33"/>
      <c r="I139" s="34"/>
      <c r="J139" s="23"/>
      <c r="K139" s="27">
        <f t="shared" si="8"/>
        <v>0</v>
      </c>
      <c r="L139" s="27">
        <f t="shared" si="9"/>
        <v>0</v>
      </c>
      <c r="M139" s="27">
        <f>Table43[[#This Row],[AMOUNT]]-Table43[[#This Row],[Column1]]</f>
        <v>0</v>
      </c>
      <c r="N139" s="27">
        <f>Table43[[#This Row],[Column3]]-Table43[[#This Row],[Column2]]</f>
        <v>0</v>
      </c>
      <c r="O139" s="27">
        <f>Table43[[#This Row],[Column4]]+Table43[[#This Row],[Column1]]</f>
        <v>0</v>
      </c>
      <c r="P139" s="27">
        <f>Table43[[#This Row],[Column5]]+Table43[[#This Row],[Column2]]</f>
        <v>0</v>
      </c>
      <c r="Q139" s="27">
        <f>Table43[[#This Row],[Column6]]-Table43[[#This Row],[AMOUNT]]</f>
        <v>0</v>
      </c>
    </row>
    <row r="140" spans="1:18" ht="17.100000000000001" customHeight="1" x14ac:dyDescent="0.2">
      <c r="A140" s="11"/>
      <c r="C140" s="12"/>
      <c r="D140" s="93"/>
      <c r="E140" s="32"/>
      <c r="F140" s="31"/>
      <c r="G140" s="33"/>
      <c r="H140" s="33"/>
      <c r="I140" s="34"/>
      <c r="J140" s="23"/>
      <c r="K140" s="27">
        <f t="shared" si="8"/>
        <v>0</v>
      </c>
      <c r="L140" s="27">
        <f t="shared" si="9"/>
        <v>0</v>
      </c>
      <c r="M140" s="27">
        <f>Table43[[#This Row],[AMOUNT]]-Table43[[#This Row],[Column1]]</f>
        <v>0</v>
      </c>
      <c r="N140" s="27">
        <f>Table43[[#This Row],[Column3]]-Table43[[#This Row],[Column2]]</f>
        <v>0</v>
      </c>
      <c r="O140" s="27">
        <f>Table43[[#This Row],[Column4]]+Table43[[#This Row],[Column1]]</f>
        <v>0</v>
      </c>
      <c r="P140" s="27">
        <f>Table43[[#This Row],[Column5]]+Table43[[#This Row],[Column2]]</f>
        <v>0</v>
      </c>
      <c r="Q140" s="27">
        <f>Table43[[#This Row],[Column6]]-Table43[[#This Row],[AMOUNT]]</f>
        <v>0</v>
      </c>
    </row>
    <row r="141" spans="1:18" ht="17.100000000000001" customHeight="1" x14ac:dyDescent="0.2">
      <c r="A141" s="11"/>
      <c r="C141" s="12"/>
      <c r="D141" s="93"/>
      <c r="E141" s="32"/>
      <c r="F141" s="31"/>
      <c r="G141" s="33"/>
      <c r="H141" s="33"/>
      <c r="I141" s="34"/>
      <c r="J141" s="23"/>
      <c r="K141" s="27">
        <f t="shared" si="8"/>
        <v>0</v>
      </c>
      <c r="L141" s="27">
        <f t="shared" si="9"/>
        <v>0</v>
      </c>
      <c r="M141" s="27">
        <f>Table43[[#This Row],[AMOUNT]]-Table43[[#This Row],[Column1]]</f>
        <v>0</v>
      </c>
      <c r="N141" s="27">
        <f>Table43[[#This Row],[Column3]]-Table43[[#This Row],[Column2]]</f>
        <v>0</v>
      </c>
      <c r="O141" s="27">
        <f>Table43[[#This Row],[Column4]]+Table43[[#This Row],[Column1]]</f>
        <v>0</v>
      </c>
      <c r="P141" s="27">
        <f>Table43[[#This Row],[Column5]]+Table43[[#This Row],[Column2]]</f>
        <v>0</v>
      </c>
      <c r="Q141" s="27">
        <f>Table43[[#This Row],[Column6]]-Table43[[#This Row],[AMOUNT]]</f>
        <v>0</v>
      </c>
    </row>
    <row r="142" spans="1:18" ht="17.100000000000001" customHeight="1" x14ac:dyDescent="0.2">
      <c r="A142" s="11"/>
      <c r="C142" s="12"/>
      <c r="D142" s="93"/>
      <c r="E142" s="32"/>
      <c r="F142" s="31"/>
      <c r="G142" s="33"/>
      <c r="H142" s="33"/>
      <c r="I142" s="34"/>
      <c r="J142" s="23"/>
      <c r="K142" s="27">
        <f t="shared" si="8"/>
        <v>0</v>
      </c>
      <c r="L142" s="27">
        <f t="shared" si="9"/>
        <v>0</v>
      </c>
      <c r="M142" s="27">
        <f>Table43[[#This Row],[AMOUNT]]-Table43[[#This Row],[Column1]]</f>
        <v>0</v>
      </c>
      <c r="N142" s="27">
        <f>Table43[[#This Row],[Column3]]-Table43[[#This Row],[Column2]]</f>
        <v>0</v>
      </c>
      <c r="O142" s="27">
        <f>Table43[[#This Row],[Column4]]+Table43[[#This Row],[Column1]]</f>
        <v>0</v>
      </c>
      <c r="P142" s="27">
        <f>Table43[[#This Row],[Column5]]+Table43[[#This Row],[Column2]]</f>
        <v>0</v>
      </c>
      <c r="Q142" s="27">
        <f>Table43[[#This Row],[Column6]]-Table43[[#This Row],[AMOUNT]]</f>
        <v>0</v>
      </c>
    </row>
    <row r="143" spans="1:18" ht="17.100000000000001" customHeight="1" x14ac:dyDescent="0.2">
      <c r="A143" s="11"/>
      <c r="C143" s="12"/>
      <c r="D143" s="93"/>
      <c r="E143" s="32"/>
      <c r="F143" s="31"/>
      <c r="G143" s="33"/>
      <c r="H143" s="33"/>
      <c r="I143" s="34"/>
      <c r="J143" s="23"/>
      <c r="K143" s="27">
        <f t="shared" si="8"/>
        <v>0</v>
      </c>
      <c r="L143" s="27">
        <f t="shared" si="9"/>
        <v>0</v>
      </c>
      <c r="M143" s="27">
        <f>Table43[[#This Row],[AMOUNT]]-Table43[[#This Row],[Column1]]</f>
        <v>0</v>
      </c>
      <c r="N143" s="27">
        <f>Table43[[#This Row],[Column3]]-Table43[[#This Row],[Column2]]</f>
        <v>0</v>
      </c>
      <c r="O143" s="27">
        <f>Table43[[#This Row],[Column4]]+Table43[[#This Row],[Column1]]</f>
        <v>0</v>
      </c>
      <c r="P143" s="27">
        <f>Table43[[#This Row],[Column5]]+Table43[[#This Row],[Column2]]</f>
        <v>0</v>
      </c>
      <c r="Q143" s="27">
        <f>Table43[[#This Row],[Column6]]-Table43[[#This Row],[AMOUNT]]</f>
        <v>0</v>
      </c>
    </row>
    <row r="144" spans="1:18" ht="17.100000000000001" customHeight="1" x14ac:dyDescent="0.2">
      <c r="A144" s="11"/>
      <c r="C144" s="12"/>
      <c r="D144" s="93"/>
      <c r="E144" s="32"/>
      <c r="F144" s="31"/>
      <c r="G144" s="33"/>
      <c r="H144" s="33"/>
      <c r="I144" s="34"/>
      <c r="J144" s="23"/>
      <c r="K144" s="27">
        <f t="shared" si="8"/>
        <v>0</v>
      </c>
      <c r="L144" s="27">
        <f t="shared" si="9"/>
        <v>0</v>
      </c>
      <c r="M144" s="27">
        <f>Table43[[#This Row],[AMOUNT]]-Table43[[#This Row],[Column1]]</f>
        <v>0</v>
      </c>
      <c r="N144" s="27">
        <f>Table43[[#This Row],[Column3]]-Table43[[#This Row],[Column2]]</f>
        <v>0</v>
      </c>
      <c r="O144" s="27">
        <f>Table43[[#This Row],[Column4]]+Table43[[#This Row],[Column1]]</f>
        <v>0</v>
      </c>
      <c r="P144" s="27">
        <f>Table43[[#This Row],[Column5]]+Table43[[#This Row],[Column2]]</f>
        <v>0</v>
      </c>
      <c r="Q144" s="27">
        <f>Table43[[#This Row],[Column6]]-Table43[[#This Row],[AMOUNT]]</f>
        <v>0</v>
      </c>
    </row>
    <row r="145" spans="1:17" ht="17.100000000000001" customHeight="1" x14ac:dyDescent="0.2">
      <c r="A145" s="11"/>
      <c r="C145" s="12"/>
      <c r="D145" s="93"/>
      <c r="E145" s="32"/>
      <c r="F145" s="31"/>
      <c r="G145" s="33"/>
      <c r="H145" s="33"/>
      <c r="I145" s="34"/>
      <c r="J145" s="23"/>
      <c r="K145" s="27">
        <f t="shared" si="8"/>
        <v>0</v>
      </c>
      <c r="L145" s="27">
        <f t="shared" si="9"/>
        <v>0</v>
      </c>
      <c r="M145" s="27">
        <f>Table43[[#This Row],[AMOUNT]]-Table43[[#This Row],[Column1]]</f>
        <v>0</v>
      </c>
      <c r="N145" s="27">
        <f>Table43[[#This Row],[Column3]]-Table43[[#This Row],[Column2]]</f>
        <v>0</v>
      </c>
      <c r="O145" s="27">
        <f>Table43[[#This Row],[Column4]]+Table43[[#This Row],[Column1]]</f>
        <v>0</v>
      </c>
      <c r="P145" s="27">
        <f>Table43[[#This Row],[Column5]]+Table43[[#This Row],[Column2]]</f>
        <v>0</v>
      </c>
      <c r="Q145" s="27">
        <f>Table43[[#This Row],[Column6]]-Table43[[#This Row],[AMOUNT]]</f>
        <v>0</v>
      </c>
    </row>
    <row r="146" spans="1:17" ht="17.100000000000001" customHeight="1" x14ac:dyDescent="0.2">
      <c r="A146" s="11"/>
      <c r="C146" s="12"/>
      <c r="D146" s="93"/>
      <c r="E146" s="32"/>
      <c r="F146" s="31"/>
      <c r="G146" s="33"/>
      <c r="H146" s="33"/>
      <c r="I146" s="34"/>
      <c r="J146" s="23"/>
      <c r="K146" s="27">
        <f t="shared" si="8"/>
        <v>0</v>
      </c>
      <c r="L146" s="27">
        <f t="shared" si="9"/>
        <v>0</v>
      </c>
      <c r="M146" s="27">
        <f>Table43[[#This Row],[AMOUNT]]-Table43[[#This Row],[Column1]]</f>
        <v>0</v>
      </c>
      <c r="N146" s="27">
        <f>Table43[[#This Row],[Column3]]-Table43[[#This Row],[Column2]]</f>
        <v>0</v>
      </c>
      <c r="O146" s="27">
        <f>Table43[[#This Row],[Column4]]+Table43[[#This Row],[Column1]]</f>
        <v>0</v>
      </c>
      <c r="P146" s="27">
        <f>Table43[[#This Row],[Column5]]+Table43[[#This Row],[Column2]]</f>
        <v>0</v>
      </c>
      <c r="Q146" s="27">
        <f>Table43[[#This Row],[Column6]]-Table43[[#This Row],[AMOUNT]]</f>
        <v>0</v>
      </c>
    </row>
    <row r="147" spans="1:17" ht="17.100000000000001" customHeight="1" x14ac:dyDescent="0.2">
      <c r="A147" s="11"/>
      <c r="C147" s="12"/>
      <c r="D147" s="93"/>
      <c r="E147" s="32"/>
      <c r="F147" s="31"/>
      <c r="G147" s="33"/>
      <c r="H147" s="33"/>
      <c r="I147" s="34"/>
      <c r="J147" s="23"/>
      <c r="K147" s="27">
        <f t="shared" si="8"/>
        <v>0</v>
      </c>
      <c r="L147" s="27">
        <f t="shared" si="9"/>
        <v>0</v>
      </c>
      <c r="M147" s="27">
        <f>Table43[[#This Row],[AMOUNT]]-Table43[[#This Row],[Column1]]</f>
        <v>0</v>
      </c>
      <c r="N147" s="27">
        <f>Table43[[#This Row],[Column3]]-Table43[[#This Row],[Column2]]</f>
        <v>0</v>
      </c>
      <c r="O147" s="27">
        <f>Table43[[#This Row],[Column4]]+Table43[[#This Row],[Column1]]</f>
        <v>0</v>
      </c>
      <c r="P147" s="27">
        <f>Table43[[#This Row],[Column5]]+Table43[[#This Row],[Column2]]</f>
        <v>0</v>
      </c>
      <c r="Q147" s="27">
        <f>Table43[[#This Row],[Column6]]-Table43[[#This Row],[AMOUNT]]</f>
        <v>0</v>
      </c>
    </row>
    <row r="148" spans="1:17" ht="17.100000000000001" customHeight="1" x14ac:dyDescent="0.2">
      <c r="A148" s="11"/>
      <c r="C148" s="12"/>
      <c r="D148" s="93"/>
      <c r="E148" s="32"/>
      <c r="F148" s="31"/>
      <c r="G148" s="33"/>
      <c r="H148" s="33"/>
      <c r="I148" s="34"/>
      <c r="J148" s="23"/>
      <c r="K148" s="27">
        <f t="shared" si="8"/>
        <v>0</v>
      </c>
      <c r="L148" s="27">
        <f t="shared" si="9"/>
        <v>0</v>
      </c>
      <c r="M148" s="27">
        <f>Table43[[#This Row],[AMOUNT]]-Table43[[#This Row],[Column1]]</f>
        <v>0</v>
      </c>
      <c r="N148" s="27">
        <f>Table43[[#This Row],[Column3]]-Table43[[#This Row],[Column2]]</f>
        <v>0</v>
      </c>
      <c r="O148" s="27">
        <f>Table43[[#This Row],[Column4]]+Table43[[#This Row],[Column1]]</f>
        <v>0</v>
      </c>
      <c r="P148" s="27">
        <f>Table43[[#This Row],[Column5]]+Table43[[#This Row],[Column2]]</f>
        <v>0</v>
      </c>
      <c r="Q148" s="27">
        <f>Table43[[#This Row],[Column6]]-Table43[[#This Row],[AMOUNT]]</f>
        <v>0</v>
      </c>
    </row>
    <row r="149" spans="1:17" ht="17.100000000000001" customHeight="1" x14ac:dyDescent="0.2">
      <c r="A149" s="11"/>
      <c r="C149" s="12"/>
      <c r="D149" s="93"/>
      <c r="E149" s="32"/>
      <c r="F149" s="31"/>
      <c r="G149" s="33"/>
      <c r="H149" s="33"/>
      <c r="I149" s="34"/>
      <c r="J149" s="23"/>
      <c r="K149" s="27">
        <f t="shared" si="8"/>
        <v>0</v>
      </c>
      <c r="L149" s="27">
        <f t="shared" si="9"/>
        <v>0</v>
      </c>
      <c r="M149" s="27">
        <f>Table43[[#This Row],[AMOUNT]]-Table43[[#This Row],[Column1]]</f>
        <v>0</v>
      </c>
      <c r="N149" s="27">
        <f>Table43[[#This Row],[Column3]]-Table43[[#This Row],[Column2]]</f>
        <v>0</v>
      </c>
      <c r="O149" s="27">
        <f>Table43[[#This Row],[Column4]]+Table43[[#This Row],[Column1]]</f>
        <v>0</v>
      </c>
      <c r="P149" s="27">
        <f>Table43[[#This Row],[Column5]]+Table43[[#This Row],[Column2]]</f>
        <v>0</v>
      </c>
      <c r="Q149" s="27">
        <f>Table43[[#This Row],[Column6]]-Table43[[#This Row],[AMOUNT]]</f>
        <v>0</v>
      </c>
    </row>
    <row r="150" spans="1:17" ht="17.100000000000001" customHeight="1" x14ac:dyDescent="0.2">
      <c r="A150" s="11"/>
      <c r="C150" s="12"/>
      <c r="D150" s="93"/>
      <c r="E150" s="32"/>
      <c r="F150" s="31"/>
      <c r="G150" s="33"/>
      <c r="H150" s="33"/>
      <c r="I150" s="34"/>
      <c r="J150" s="23"/>
      <c r="K150" s="27">
        <f t="shared" si="8"/>
        <v>0</v>
      </c>
      <c r="L150" s="27">
        <f t="shared" si="9"/>
        <v>0</v>
      </c>
      <c r="M150" s="27">
        <f>Table43[[#This Row],[AMOUNT]]-Table43[[#This Row],[Column1]]</f>
        <v>0</v>
      </c>
      <c r="N150" s="27">
        <f>Table43[[#This Row],[Column3]]-Table43[[#This Row],[Column2]]</f>
        <v>0</v>
      </c>
      <c r="O150" s="27">
        <f>Table43[[#This Row],[Column4]]+Table43[[#This Row],[Column1]]</f>
        <v>0</v>
      </c>
      <c r="P150" s="27">
        <f>Table43[[#This Row],[Column5]]+Table43[[#This Row],[Column2]]</f>
        <v>0</v>
      </c>
      <c r="Q150" s="27">
        <f>Table43[[#This Row],[Column6]]-Table43[[#This Row],[AMOUNT]]</f>
        <v>0</v>
      </c>
    </row>
    <row r="151" spans="1:17" ht="17.100000000000001" customHeight="1" x14ac:dyDescent="0.2">
      <c r="A151" s="11"/>
      <c r="C151" s="12"/>
      <c r="D151" s="93"/>
      <c r="E151" s="32"/>
      <c r="F151" s="31"/>
      <c r="G151" s="33"/>
      <c r="H151" s="33"/>
      <c r="I151" s="34"/>
      <c r="J151" s="23"/>
      <c r="K151" s="27">
        <f t="shared" si="8"/>
        <v>0</v>
      </c>
      <c r="L151" s="27">
        <f t="shared" si="9"/>
        <v>0</v>
      </c>
      <c r="M151" s="27">
        <f>Table43[[#This Row],[AMOUNT]]-Table43[[#This Row],[Column1]]</f>
        <v>0</v>
      </c>
      <c r="N151" s="27">
        <f>Table43[[#This Row],[Column3]]-Table43[[#This Row],[Column2]]</f>
        <v>0</v>
      </c>
      <c r="O151" s="27">
        <f>Table43[[#This Row],[Column4]]+Table43[[#This Row],[Column1]]</f>
        <v>0</v>
      </c>
      <c r="P151" s="27">
        <f>Table43[[#This Row],[Column5]]+Table43[[#This Row],[Column2]]</f>
        <v>0</v>
      </c>
      <c r="Q151" s="27">
        <f>Table43[[#This Row],[Column6]]-Table43[[#This Row],[AMOUNT]]</f>
        <v>0</v>
      </c>
    </row>
    <row r="152" spans="1:17" ht="17.100000000000001" customHeight="1" x14ac:dyDescent="0.2">
      <c r="A152" s="11"/>
      <c r="C152" s="12"/>
      <c r="D152" s="93"/>
      <c r="E152" s="32"/>
      <c r="F152" s="31"/>
      <c r="G152" s="33"/>
      <c r="H152" s="33"/>
      <c r="I152" s="34"/>
      <c r="J152" s="23"/>
      <c r="K152" s="27">
        <f t="shared" si="8"/>
        <v>0</v>
      </c>
      <c r="L152" s="27">
        <f t="shared" si="9"/>
        <v>0</v>
      </c>
      <c r="M152" s="27">
        <f>Table43[[#This Row],[AMOUNT]]-Table43[[#This Row],[Column1]]</f>
        <v>0</v>
      </c>
      <c r="N152" s="27">
        <f>Table43[[#This Row],[Column3]]-Table43[[#This Row],[Column2]]</f>
        <v>0</v>
      </c>
      <c r="O152" s="27">
        <f>Table43[[#This Row],[Column4]]+Table43[[#This Row],[Column1]]</f>
        <v>0</v>
      </c>
      <c r="P152" s="27">
        <f>Table43[[#This Row],[Column5]]+Table43[[#This Row],[Column2]]</f>
        <v>0</v>
      </c>
      <c r="Q152" s="27">
        <f>Table43[[#This Row],[Column6]]-Table43[[#This Row],[AMOUNT]]</f>
        <v>0</v>
      </c>
    </row>
    <row r="153" spans="1:17" ht="17.100000000000001" customHeight="1" x14ac:dyDescent="0.2">
      <c r="A153" s="11"/>
      <c r="C153" s="12"/>
      <c r="D153" s="93"/>
      <c r="E153" s="32"/>
      <c r="F153" s="31"/>
      <c r="G153" s="33"/>
      <c r="H153" s="33"/>
      <c r="I153" s="34"/>
      <c r="J153" s="23"/>
      <c r="K153" s="27">
        <f t="shared" si="8"/>
        <v>0</v>
      </c>
      <c r="L153" s="27">
        <f t="shared" si="9"/>
        <v>0</v>
      </c>
      <c r="M153" s="27">
        <f>Table43[[#This Row],[AMOUNT]]-Table43[[#This Row],[Column1]]</f>
        <v>0</v>
      </c>
      <c r="N153" s="27">
        <f>Table43[[#This Row],[Column3]]-Table43[[#This Row],[Column2]]</f>
        <v>0</v>
      </c>
      <c r="O153" s="27">
        <f>Table43[[#This Row],[Column4]]+Table43[[#This Row],[Column1]]</f>
        <v>0</v>
      </c>
      <c r="P153" s="27">
        <f>Table43[[#This Row],[Column5]]+Table43[[#This Row],[Column2]]</f>
        <v>0</v>
      </c>
      <c r="Q153" s="27">
        <f>Table43[[#This Row],[Column6]]-Table43[[#This Row],[AMOUNT]]</f>
        <v>0</v>
      </c>
    </row>
    <row r="154" spans="1:17" ht="17.100000000000001" customHeight="1" x14ac:dyDescent="0.2">
      <c r="A154" s="11"/>
      <c r="C154" s="12"/>
      <c r="D154" s="93"/>
      <c r="E154" s="32"/>
      <c r="F154" s="31"/>
      <c r="G154" s="33"/>
      <c r="H154" s="33"/>
      <c r="I154" s="34"/>
      <c r="J154" s="23"/>
      <c r="K154" s="27">
        <f t="shared" si="8"/>
        <v>0</v>
      </c>
      <c r="L154" s="27">
        <f t="shared" si="9"/>
        <v>0</v>
      </c>
      <c r="M154" s="27">
        <f>Table43[[#This Row],[AMOUNT]]-Table43[[#This Row],[Column1]]</f>
        <v>0</v>
      </c>
      <c r="N154" s="27">
        <f>Table43[[#This Row],[Column3]]-Table43[[#This Row],[Column2]]</f>
        <v>0</v>
      </c>
      <c r="O154" s="27">
        <f>Table43[[#This Row],[Column4]]+Table43[[#This Row],[Column1]]</f>
        <v>0</v>
      </c>
      <c r="P154" s="27">
        <f>Table43[[#This Row],[Column5]]+Table43[[#This Row],[Column2]]</f>
        <v>0</v>
      </c>
      <c r="Q154" s="27">
        <f>Table43[[#This Row],[Column6]]-Table43[[#This Row],[AMOUNT]]</f>
        <v>0</v>
      </c>
    </row>
    <row r="155" spans="1:17" ht="17.100000000000001" customHeight="1" x14ac:dyDescent="0.2">
      <c r="A155" s="11"/>
      <c r="C155" s="12"/>
      <c r="D155" s="93"/>
      <c r="E155" s="32"/>
      <c r="F155" s="31"/>
      <c r="G155" s="33"/>
      <c r="H155" s="33"/>
      <c r="I155" s="34"/>
      <c r="J155" s="23"/>
      <c r="K155" s="27">
        <f t="shared" si="8"/>
        <v>0</v>
      </c>
      <c r="L155" s="27">
        <f t="shared" si="9"/>
        <v>0</v>
      </c>
      <c r="M155" s="27">
        <f>Table43[[#This Row],[AMOUNT]]-Table43[[#This Row],[Column1]]</f>
        <v>0</v>
      </c>
      <c r="N155" s="27">
        <f>Table43[[#This Row],[Column3]]-Table43[[#This Row],[Column2]]</f>
        <v>0</v>
      </c>
      <c r="O155" s="27">
        <f>Table43[[#This Row],[Column4]]+Table43[[#This Row],[Column1]]</f>
        <v>0</v>
      </c>
      <c r="P155" s="27">
        <f>Table43[[#This Row],[Column5]]+Table43[[#This Row],[Column2]]</f>
        <v>0</v>
      </c>
      <c r="Q155" s="27">
        <f>Table43[[#This Row],[Column6]]-Table43[[#This Row],[AMOUNT]]</f>
        <v>0</v>
      </c>
    </row>
    <row r="156" spans="1:17" ht="17.100000000000001" customHeight="1" x14ac:dyDescent="0.2">
      <c r="A156" s="11"/>
      <c r="C156" s="12"/>
      <c r="D156" s="93"/>
      <c r="E156" s="32"/>
      <c r="F156" s="31"/>
      <c r="G156" s="33"/>
      <c r="H156" s="33"/>
      <c r="I156" s="34"/>
      <c r="J156" s="23"/>
      <c r="K156" s="27">
        <f t="shared" si="8"/>
        <v>0</v>
      </c>
      <c r="L156" s="27">
        <f t="shared" si="9"/>
        <v>0</v>
      </c>
      <c r="M156" s="27">
        <f>Table43[[#This Row],[AMOUNT]]-Table43[[#This Row],[Column1]]</f>
        <v>0</v>
      </c>
      <c r="N156" s="27">
        <f>Table43[[#This Row],[Column3]]-Table43[[#This Row],[Column2]]</f>
        <v>0</v>
      </c>
      <c r="O156" s="27">
        <f>Table43[[#This Row],[Column4]]+Table43[[#This Row],[Column1]]</f>
        <v>0</v>
      </c>
      <c r="P156" s="27">
        <f>Table43[[#This Row],[Column5]]+Table43[[#This Row],[Column2]]</f>
        <v>0</v>
      </c>
      <c r="Q156" s="27">
        <f>Table43[[#This Row],[Column6]]-Table43[[#This Row],[AMOUNT]]</f>
        <v>0</v>
      </c>
    </row>
    <row r="157" spans="1:17" ht="17.100000000000001" customHeight="1" x14ac:dyDescent="0.2">
      <c r="A157" s="11"/>
      <c r="C157" s="12"/>
      <c r="D157" s="93"/>
      <c r="E157" s="32"/>
      <c r="F157" s="31"/>
      <c r="G157" s="33"/>
      <c r="H157" s="33"/>
      <c r="I157" s="34"/>
      <c r="J157" s="23"/>
      <c r="K157" s="27">
        <f t="shared" si="8"/>
        <v>0</v>
      </c>
      <c r="L157" s="27">
        <f t="shared" si="9"/>
        <v>0</v>
      </c>
      <c r="M157" s="27">
        <f>Table43[[#This Row],[AMOUNT]]-Table43[[#This Row],[Column1]]</f>
        <v>0</v>
      </c>
      <c r="N157" s="27">
        <f>Table43[[#This Row],[Column3]]-Table43[[#This Row],[Column2]]</f>
        <v>0</v>
      </c>
      <c r="O157" s="27">
        <f>Table43[[#This Row],[Column4]]+Table43[[#This Row],[Column1]]</f>
        <v>0</v>
      </c>
      <c r="P157" s="27">
        <f>Table43[[#This Row],[Column5]]+Table43[[#This Row],[Column2]]</f>
        <v>0</v>
      </c>
      <c r="Q157" s="27">
        <f>Table43[[#This Row],[Column6]]-Table43[[#This Row],[AMOUNT]]</f>
        <v>0</v>
      </c>
    </row>
    <row r="158" spans="1:17" ht="17.100000000000001" customHeight="1" x14ac:dyDescent="0.2">
      <c r="A158" s="11"/>
      <c r="C158" s="12"/>
      <c r="D158" s="93"/>
      <c r="E158" s="32"/>
      <c r="F158" s="31"/>
      <c r="G158" s="33"/>
      <c r="H158" s="33"/>
      <c r="I158" s="34"/>
      <c r="J158" s="23"/>
      <c r="K158" s="27">
        <f t="shared" si="8"/>
        <v>0</v>
      </c>
      <c r="L158" s="27">
        <f t="shared" si="9"/>
        <v>0</v>
      </c>
      <c r="M158" s="27">
        <f>Table43[[#This Row],[AMOUNT]]-Table43[[#This Row],[Column1]]</f>
        <v>0</v>
      </c>
      <c r="N158" s="27">
        <f>Table43[[#This Row],[Column3]]-Table43[[#This Row],[Column2]]</f>
        <v>0</v>
      </c>
      <c r="O158" s="27">
        <f>Table43[[#This Row],[Column4]]+Table43[[#This Row],[Column1]]</f>
        <v>0</v>
      </c>
      <c r="P158" s="27">
        <f>Table43[[#This Row],[Column5]]+Table43[[#This Row],[Column2]]</f>
        <v>0</v>
      </c>
      <c r="Q158" s="27">
        <f>Table43[[#This Row],[Column6]]-Table43[[#This Row],[AMOUNT]]</f>
        <v>0</v>
      </c>
    </row>
    <row r="159" spans="1:17" ht="17.100000000000001" customHeight="1" x14ac:dyDescent="0.2">
      <c r="A159" s="11"/>
      <c r="C159" s="12"/>
      <c r="D159" s="93"/>
      <c r="E159" s="32"/>
      <c r="F159" s="31"/>
      <c r="G159" s="33"/>
      <c r="H159" s="33"/>
      <c r="I159" s="34"/>
      <c r="J159" s="23"/>
      <c r="K159" s="27">
        <f t="shared" si="8"/>
        <v>0</v>
      </c>
      <c r="L159" s="27">
        <f t="shared" si="9"/>
        <v>0</v>
      </c>
      <c r="M159" s="27">
        <f>Table43[[#This Row],[AMOUNT]]-Table43[[#This Row],[Column1]]</f>
        <v>0</v>
      </c>
      <c r="N159" s="27">
        <f>Table43[[#This Row],[Column3]]-Table43[[#This Row],[Column2]]</f>
        <v>0</v>
      </c>
      <c r="O159" s="27">
        <f>Table43[[#This Row],[Column4]]+Table43[[#This Row],[Column1]]</f>
        <v>0</v>
      </c>
      <c r="P159" s="27">
        <f>Table43[[#This Row],[Column5]]+Table43[[#This Row],[Column2]]</f>
        <v>0</v>
      </c>
      <c r="Q159" s="27">
        <f>Table43[[#This Row],[Column6]]-Table43[[#This Row],[AMOUNT]]</f>
        <v>0</v>
      </c>
    </row>
    <row r="160" spans="1:17" ht="17.100000000000001" customHeight="1" x14ac:dyDescent="0.2">
      <c r="A160" s="11"/>
      <c r="C160" s="12"/>
      <c r="D160" s="93"/>
      <c r="E160" s="32"/>
      <c r="F160" s="31"/>
      <c r="G160" s="33"/>
      <c r="H160" s="33"/>
      <c r="I160" s="34"/>
      <c r="J160" s="23"/>
      <c r="K160" s="27">
        <f t="shared" si="8"/>
        <v>0</v>
      </c>
      <c r="L160" s="27">
        <f t="shared" si="9"/>
        <v>0</v>
      </c>
      <c r="M160" s="27">
        <f>Table43[[#This Row],[AMOUNT]]-Table43[[#This Row],[Column1]]</f>
        <v>0</v>
      </c>
      <c r="N160" s="27">
        <f>Table43[[#This Row],[Column3]]-Table43[[#This Row],[Column2]]</f>
        <v>0</v>
      </c>
      <c r="O160" s="27">
        <f>Table43[[#This Row],[Column4]]+Table43[[#This Row],[Column1]]</f>
        <v>0</v>
      </c>
      <c r="P160" s="27">
        <f>Table43[[#This Row],[Column5]]+Table43[[#This Row],[Column2]]</f>
        <v>0</v>
      </c>
      <c r="Q160" s="27">
        <f>Table43[[#This Row],[Column6]]-Table43[[#This Row],[AMOUNT]]</f>
        <v>0</v>
      </c>
    </row>
    <row r="161" spans="1:17" ht="17.100000000000001" customHeight="1" x14ac:dyDescent="0.2">
      <c r="A161" s="11"/>
      <c r="C161" s="12"/>
      <c r="D161" s="93"/>
      <c r="E161" s="32"/>
      <c r="F161" s="31"/>
      <c r="G161" s="33"/>
      <c r="H161" s="33"/>
      <c r="I161" s="34"/>
      <c r="J161" s="23"/>
      <c r="K161" s="27">
        <f t="shared" si="8"/>
        <v>0</v>
      </c>
      <c r="L161" s="27">
        <f t="shared" si="9"/>
        <v>0</v>
      </c>
      <c r="M161" s="27">
        <f>Table43[[#This Row],[AMOUNT]]-Table43[[#This Row],[Column1]]</f>
        <v>0</v>
      </c>
      <c r="N161" s="27">
        <f>Table43[[#This Row],[Column3]]-Table43[[#This Row],[Column2]]</f>
        <v>0</v>
      </c>
      <c r="O161" s="27">
        <f>Table43[[#This Row],[Column4]]+Table43[[#This Row],[Column1]]</f>
        <v>0</v>
      </c>
      <c r="P161" s="27">
        <f>Table43[[#This Row],[Column5]]+Table43[[#This Row],[Column2]]</f>
        <v>0</v>
      </c>
      <c r="Q161" s="27">
        <f>Table43[[#This Row],[Column6]]-Table43[[#This Row],[AMOUNT]]</f>
        <v>0</v>
      </c>
    </row>
    <row r="162" spans="1:17" ht="17.100000000000001" customHeight="1" x14ac:dyDescent="0.2">
      <c r="A162" s="11"/>
      <c r="C162" s="12"/>
      <c r="D162" s="93"/>
      <c r="E162" s="32"/>
      <c r="F162" s="31"/>
      <c r="G162" s="33"/>
      <c r="H162" s="33"/>
      <c r="I162" s="34"/>
      <c r="J162" s="23"/>
      <c r="K162" s="27">
        <f t="shared" si="8"/>
        <v>0</v>
      </c>
      <c r="L162" s="27">
        <f t="shared" si="9"/>
        <v>0</v>
      </c>
      <c r="M162" s="27">
        <f>Table43[[#This Row],[AMOUNT]]-Table43[[#This Row],[Column1]]</f>
        <v>0</v>
      </c>
      <c r="N162" s="27">
        <f>Table43[[#This Row],[Column3]]-Table43[[#This Row],[Column2]]</f>
        <v>0</v>
      </c>
      <c r="O162" s="27">
        <f>Table43[[#This Row],[Column4]]+Table43[[#This Row],[Column1]]</f>
        <v>0</v>
      </c>
      <c r="P162" s="27">
        <f>Table43[[#This Row],[Column5]]+Table43[[#This Row],[Column2]]</f>
        <v>0</v>
      </c>
      <c r="Q162" s="27">
        <f>Table43[[#This Row],[Column6]]-Table43[[#This Row],[AMOUNT]]</f>
        <v>0</v>
      </c>
    </row>
    <row r="163" spans="1:17" ht="17.100000000000001" customHeight="1" x14ac:dyDescent="0.2">
      <c r="A163" s="11"/>
      <c r="C163" s="12"/>
      <c r="D163" s="93"/>
      <c r="E163" s="32"/>
      <c r="F163" s="31"/>
      <c r="G163" s="33"/>
      <c r="H163" s="33"/>
      <c r="I163" s="34"/>
      <c r="J163" s="23"/>
      <c r="K163" s="27">
        <f t="shared" si="8"/>
        <v>0</v>
      </c>
      <c r="L163" s="27">
        <f t="shared" si="9"/>
        <v>0</v>
      </c>
      <c r="M163" s="27">
        <f>Table43[[#This Row],[AMOUNT]]-Table43[[#This Row],[Column1]]</f>
        <v>0</v>
      </c>
      <c r="N163" s="27">
        <f>Table43[[#This Row],[Column3]]-Table43[[#This Row],[Column2]]</f>
        <v>0</v>
      </c>
      <c r="O163" s="27">
        <f>Table43[[#This Row],[Column4]]+Table43[[#This Row],[Column1]]</f>
        <v>0</v>
      </c>
      <c r="P163" s="27">
        <f>Table43[[#This Row],[Column5]]+Table43[[#This Row],[Column2]]</f>
        <v>0</v>
      </c>
      <c r="Q163" s="27">
        <f>Table43[[#This Row],[Column6]]-Table43[[#This Row],[AMOUNT]]</f>
        <v>0</v>
      </c>
    </row>
    <row r="164" spans="1:17" ht="17.100000000000001" customHeight="1" x14ac:dyDescent="0.2">
      <c r="A164" s="11"/>
      <c r="C164" s="12"/>
      <c r="D164" s="93"/>
      <c r="E164" s="32"/>
      <c r="F164" s="31"/>
      <c r="G164" s="33"/>
      <c r="H164" s="33"/>
      <c r="I164" s="34"/>
      <c r="J164" s="23"/>
      <c r="K164" s="27">
        <f t="shared" si="8"/>
        <v>0</v>
      </c>
      <c r="L164" s="27">
        <f t="shared" si="9"/>
        <v>0</v>
      </c>
      <c r="M164" s="27">
        <f>Table43[[#This Row],[AMOUNT]]-Table43[[#This Row],[Column1]]</f>
        <v>0</v>
      </c>
      <c r="N164" s="27">
        <f>Table43[[#This Row],[Column3]]-Table43[[#This Row],[Column2]]</f>
        <v>0</v>
      </c>
      <c r="O164" s="27">
        <f>Table43[[#This Row],[Column4]]+Table43[[#This Row],[Column1]]</f>
        <v>0</v>
      </c>
      <c r="P164" s="27">
        <f>Table43[[#This Row],[Column5]]+Table43[[#This Row],[Column2]]</f>
        <v>0</v>
      </c>
      <c r="Q164" s="27">
        <f>Table43[[#This Row],[Column6]]-Table43[[#This Row],[AMOUNT]]</f>
        <v>0</v>
      </c>
    </row>
    <row r="165" spans="1:17" ht="17.100000000000001" customHeight="1" x14ac:dyDescent="0.2">
      <c r="A165" s="11"/>
      <c r="C165" s="12"/>
      <c r="D165" s="93"/>
      <c r="E165" s="32"/>
      <c r="F165" s="31"/>
      <c r="G165" s="33"/>
      <c r="H165" s="33"/>
      <c r="I165" s="34"/>
      <c r="J165" s="23"/>
      <c r="K165" s="27">
        <f t="shared" si="8"/>
        <v>0</v>
      </c>
      <c r="L165" s="27">
        <f t="shared" si="9"/>
        <v>0</v>
      </c>
      <c r="M165" s="27">
        <f>Table43[[#This Row],[AMOUNT]]-Table43[[#This Row],[Column1]]</f>
        <v>0</v>
      </c>
      <c r="N165" s="27">
        <f>Table43[[#This Row],[Column3]]-Table43[[#This Row],[Column2]]</f>
        <v>0</v>
      </c>
      <c r="O165" s="27">
        <f>Table43[[#This Row],[Column4]]+Table43[[#This Row],[Column1]]</f>
        <v>0</v>
      </c>
      <c r="P165" s="27">
        <f>Table43[[#This Row],[Column5]]+Table43[[#This Row],[Column2]]</f>
        <v>0</v>
      </c>
      <c r="Q165" s="27">
        <f>Table43[[#This Row],[Column6]]-Table43[[#This Row],[AMOUNT]]</f>
        <v>0</v>
      </c>
    </row>
    <row r="166" spans="1:17" ht="17.100000000000001" customHeight="1" x14ac:dyDescent="0.2">
      <c r="A166" s="11"/>
      <c r="C166" s="12"/>
      <c r="D166" s="93"/>
      <c r="E166" s="32"/>
      <c r="F166" s="31"/>
      <c r="G166" s="33"/>
      <c r="H166" s="33"/>
      <c r="I166" s="34"/>
      <c r="J166" s="23"/>
      <c r="K166" s="27">
        <f t="shared" si="8"/>
        <v>0</v>
      </c>
      <c r="L166" s="27">
        <f t="shared" si="9"/>
        <v>0</v>
      </c>
      <c r="M166" s="27">
        <f>Table43[[#This Row],[AMOUNT]]-Table43[[#This Row],[Column1]]</f>
        <v>0</v>
      </c>
      <c r="N166" s="27">
        <f>Table43[[#This Row],[Column3]]-Table43[[#This Row],[Column2]]</f>
        <v>0</v>
      </c>
      <c r="O166" s="27">
        <f>Table43[[#This Row],[Column4]]+Table43[[#This Row],[Column1]]</f>
        <v>0</v>
      </c>
      <c r="P166" s="27">
        <f>Table43[[#This Row],[Column5]]+Table43[[#This Row],[Column2]]</f>
        <v>0</v>
      </c>
      <c r="Q166" s="27">
        <f>Table43[[#This Row],[Column6]]-Table43[[#This Row],[AMOUNT]]</f>
        <v>0</v>
      </c>
    </row>
    <row r="167" spans="1:17" ht="17.100000000000001" customHeight="1" x14ac:dyDescent="0.2">
      <c r="A167" s="11"/>
      <c r="C167" s="12"/>
      <c r="D167" s="93"/>
      <c r="E167" s="32"/>
      <c r="F167" s="31"/>
      <c r="G167" s="33"/>
      <c r="H167" s="33"/>
      <c r="I167" s="34"/>
      <c r="J167" s="23"/>
      <c r="K167" s="27">
        <f t="shared" si="8"/>
        <v>0</v>
      </c>
      <c r="L167" s="27">
        <f t="shared" si="9"/>
        <v>0</v>
      </c>
      <c r="M167" s="27">
        <f>Table43[[#This Row],[AMOUNT]]-Table43[[#This Row],[Column1]]</f>
        <v>0</v>
      </c>
      <c r="N167" s="27">
        <f>Table43[[#This Row],[Column3]]-Table43[[#This Row],[Column2]]</f>
        <v>0</v>
      </c>
      <c r="O167" s="27">
        <f>Table43[[#This Row],[Column4]]+Table43[[#This Row],[Column1]]</f>
        <v>0</v>
      </c>
      <c r="P167" s="27">
        <f>Table43[[#This Row],[Column5]]+Table43[[#This Row],[Column2]]</f>
        <v>0</v>
      </c>
      <c r="Q167" s="27">
        <f>Table43[[#This Row],[Column6]]-Table43[[#This Row],[AMOUNT]]</f>
        <v>0</v>
      </c>
    </row>
    <row r="168" spans="1:17" ht="17.100000000000001" customHeight="1" x14ac:dyDescent="0.2">
      <c r="A168" s="11"/>
      <c r="C168" s="12"/>
      <c r="D168" s="93"/>
      <c r="E168" s="32"/>
      <c r="F168" s="31"/>
      <c r="G168" s="33"/>
      <c r="H168" s="33"/>
      <c r="I168" s="34"/>
      <c r="J168" s="23"/>
      <c r="K168" s="27">
        <f t="shared" ref="K168:K199" si="10">I168/1.12</f>
        <v>0</v>
      </c>
      <c r="L168" s="27">
        <f t="shared" ref="L168:L199" si="11">K168*0.01</f>
        <v>0</v>
      </c>
      <c r="M168" s="27">
        <f>Table43[[#This Row],[AMOUNT]]-Table43[[#This Row],[Column1]]</f>
        <v>0</v>
      </c>
      <c r="N168" s="27">
        <f>Table43[[#This Row],[Column3]]-Table43[[#This Row],[Column2]]</f>
        <v>0</v>
      </c>
      <c r="O168" s="27">
        <f>Table43[[#This Row],[Column4]]+Table43[[#This Row],[Column1]]</f>
        <v>0</v>
      </c>
      <c r="P168" s="27">
        <f>Table43[[#This Row],[Column5]]+Table43[[#This Row],[Column2]]</f>
        <v>0</v>
      </c>
      <c r="Q168" s="27">
        <f>Table43[[#This Row],[Column6]]-Table43[[#This Row],[AMOUNT]]</f>
        <v>0</v>
      </c>
    </row>
    <row r="169" spans="1:17" ht="17.100000000000001" customHeight="1" x14ac:dyDescent="0.2">
      <c r="A169" s="11"/>
      <c r="C169" s="12"/>
      <c r="D169" s="93"/>
      <c r="E169" s="32"/>
      <c r="F169" s="31"/>
      <c r="G169" s="33"/>
      <c r="H169" s="33"/>
      <c r="I169" s="34"/>
      <c r="J169" s="23"/>
      <c r="K169" s="27">
        <f t="shared" si="10"/>
        <v>0</v>
      </c>
      <c r="L169" s="27">
        <f t="shared" si="11"/>
        <v>0</v>
      </c>
      <c r="M169" s="27">
        <f>Table43[[#This Row],[AMOUNT]]-Table43[[#This Row],[Column1]]</f>
        <v>0</v>
      </c>
      <c r="N169" s="27">
        <f>Table43[[#This Row],[Column3]]-Table43[[#This Row],[Column2]]</f>
        <v>0</v>
      </c>
      <c r="O169" s="27">
        <f>Table43[[#This Row],[Column4]]+Table43[[#This Row],[Column1]]</f>
        <v>0</v>
      </c>
      <c r="P169" s="27">
        <f>Table43[[#This Row],[Column5]]+Table43[[#This Row],[Column2]]</f>
        <v>0</v>
      </c>
      <c r="Q169" s="27">
        <f>Table43[[#This Row],[Column6]]-Table43[[#This Row],[AMOUNT]]</f>
        <v>0</v>
      </c>
    </row>
    <row r="170" spans="1:17" ht="17.100000000000001" customHeight="1" x14ac:dyDescent="0.2">
      <c r="A170" s="11"/>
      <c r="C170" s="12"/>
      <c r="D170" s="93"/>
      <c r="E170" s="32"/>
      <c r="F170" s="31"/>
      <c r="G170" s="33"/>
      <c r="H170" s="33"/>
      <c r="I170" s="34"/>
      <c r="J170" s="23"/>
      <c r="K170" s="27">
        <f t="shared" si="10"/>
        <v>0</v>
      </c>
      <c r="L170" s="27">
        <f t="shared" si="11"/>
        <v>0</v>
      </c>
      <c r="M170" s="27">
        <f>Table43[[#This Row],[AMOUNT]]-Table43[[#This Row],[Column1]]</f>
        <v>0</v>
      </c>
      <c r="N170" s="27">
        <f>Table43[[#This Row],[Column3]]-Table43[[#This Row],[Column2]]</f>
        <v>0</v>
      </c>
      <c r="O170" s="27">
        <f>Table43[[#This Row],[Column4]]+Table43[[#This Row],[Column1]]</f>
        <v>0</v>
      </c>
      <c r="P170" s="27">
        <f>Table43[[#This Row],[Column5]]+Table43[[#This Row],[Column2]]</f>
        <v>0</v>
      </c>
      <c r="Q170" s="27">
        <f>Table43[[#This Row],[Column6]]-Table43[[#This Row],[AMOUNT]]</f>
        <v>0</v>
      </c>
    </row>
    <row r="171" spans="1:17" ht="17.100000000000001" customHeight="1" x14ac:dyDescent="0.2">
      <c r="A171" s="11"/>
      <c r="C171" s="12"/>
      <c r="D171" s="93"/>
      <c r="E171" s="32"/>
      <c r="F171" s="31"/>
      <c r="G171" s="33"/>
      <c r="H171" s="33"/>
      <c r="I171" s="34"/>
      <c r="J171" s="23"/>
      <c r="K171" s="27">
        <f t="shared" si="10"/>
        <v>0</v>
      </c>
      <c r="L171" s="27">
        <f t="shared" si="11"/>
        <v>0</v>
      </c>
      <c r="M171" s="27">
        <f>Table43[[#This Row],[AMOUNT]]-Table43[[#This Row],[Column1]]</f>
        <v>0</v>
      </c>
      <c r="N171" s="27">
        <f>Table43[[#This Row],[Column3]]-Table43[[#This Row],[Column2]]</f>
        <v>0</v>
      </c>
      <c r="O171" s="27">
        <f>Table43[[#This Row],[Column4]]+Table43[[#This Row],[Column1]]</f>
        <v>0</v>
      </c>
      <c r="P171" s="27">
        <f>Table43[[#This Row],[Column5]]+Table43[[#This Row],[Column2]]</f>
        <v>0</v>
      </c>
      <c r="Q171" s="27">
        <f>Table43[[#This Row],[Column6]]-Table43[[#This Row],[AMOUNT]]</f>
        <v>0</v>
      </c>
    </row>
    <row r="172" spans="1:17" ht="17.100000000000001" customHeight="1" x14ac:dyDescent="0.2">
      <c r="A172" s="11"/>
      <c r="C172" s="12"/>
      <c r="D172" s="93"/>
      <c r="E172" s="32"/>
      <c r="F172" s="31"/>
      <c r="G172" s="33"/>
      <c r="H172" s="33"/>
      <c r="I172" s="34"/>
      <c r="J172" s="23"/>
      <c r="K172" s="27">
        <f t="shared" si="10"/>
        <v>0</v>
      </c>
      <c r="L172" s="27">
        <f t="shared" si="11"/>
        <v>0</v>
      </c>
      <c r="M172" s="27">
        <f>Table43[[#This Row],[AMOUNT]]-Table43[[#This Row],[Column1]]</f>
        <v>0</v>
      </c>
      <c r="N172" s="27">
        <f>Table43[[#This Row],[Column3]]-Table43[[#This Row],[Column2]]</f>
        <v>0</v>
      </c>
      <c r="O172" s="27">
        <f>Table43[[#This Row],[Column4]]+Table43[[#This Row],[Column1]]</f>
        <v>0</v>
      </c>
      <c r="P172" s="27">
        <f>Table43[[#This Row],[Column5]]+Table43[[#This Row],[Column2]]</f>
        <v>0</v>
      </c>
      <c r="Q172" s="27">
        <f>Table43[[#This Row],[Column6]]-Table43[[#This Row],[AMOUNT]]</f>
        <v>0</v>
      </c>
    </row>
    <row r="173" spans="1:17" ht="17.100000000000001" customHeight="1" x14ac:dyDescent="0.2">
      <c r="A173" s="11"/>
      <c r="C173" s="12"/>
      <c r="D173" s="93"/>
      <c r="E173" s="32"/>
      <c r="F173" s="31"/>
      <c r="G173" s="33"/>
      <c r="H173" s="33"/>
      <c r="I173" s="34"/>
      <c r="J173" s="23"/>
      <c r="K173" s="27">
        <f t="shared" si="10"/>
        <v>0</v>
      </c>
      <c r="L173" s="27">
        <f t="shared" si="11"/>
        <v>0</v>
      </c>
      <c r="M173" s="27">
        <f>Table43[[#This Row],[AMOUNT]]-Table43[[#This Row],[Column1]]</f>
        <v>0</v>
      </c>
      <c r="N173" s="27">
        <f>Table43[[#This Row],[Column3]]-Table43[[#This Row],[Column2]]</f>
        <v>0</v>
      </c>
      <c r="O173" s="27">
        <f>Table43[[#This Row],[Column4]]+Table43[[#This Row],[Column1]]</f>
        <v>0</v>
      </c>
      <c r="P173" s="27">
        <f>Table43[[#This Row],[Column5]]+Table43[[#This Row],[Column2]]</f>
        <v>0</v>
      </c>
      <c r="Q173" s="27">
        <f>Table43[[#This Row],[Column6]]-Table43[[#This Row],[AMOUNT]]</f>
        <v>0</v>
      </c>
    </row>
    <row r="174" spans="1:17" ht="17.100000000000001" customHeight="1" x14ac:dyDescent="0.2">
      <c r="A174" s="11"/>
      <c r="C174" s="12"/>
      <c r="D174" s="93"/>
      <c r="E174" s="32"/>
      <c r="F174" s="31"/>
      <c r="G174" s="33"/>
      <c r="H174" s="33"/>
      <c r="I174" s="34"/>
      <c r="J174" s="23"/>
      <c r="K174" s="27">
        <f t="shared" si="10"/>
        <v>0</v>
      </c>
      <c r="L174" s="27">
        <f t="shared" si="11"/>
        <v>0</v>
      </c>
      <c r="M174" s="27">
        <f>Table43[[#This Row],[AMOUNT]]-Table43[[#This Row],[Column1]]</f>
        <v>0</v>
      </c>
      <c r="N174" s="27">
        <f>Table43[[#This Row],[Column3]]-Table43[[#This Row],[Column2]]</f>
        <v>0</v>
      </c>
      <c r="O174" s="27">
        <f>Table43[[#This Row],[Column4]]+Table43[[#This Row],[Column1]]</f>
        <v>0</v>
      </c>
      <c r="P174" s="27">
        <f>Table43[[#This Row],[Column5]]+Table43[[#This Row],[Column2]]</f>
        <v>0</v>
      </c>
      <c r="Q174" s="27">
        <f>Table43[[#This Row],[Column6]]-Table43[[#This Row],[AMOUNT]]</f>
        <v>0</v>
      </c>
    </row>
    <row r="175" spans="1:17" ht="17.100000000000001" customHeight="1" x14ac:dyDescent="0.2">
      <c r="A175" s="11"/>
      <c r="C175" s="12"/>
      <c r="D175" s="93"/>
      <c r="E175" s="32"/>
      <c r="F175" s="31"/>
      <c r="G175" s="33"/>
      <c r="H175" s="33"/>
      <c r="I175" s="34"/>
      <c r="J175" s="23"/>
      <c r="K175" s="27">
        <f t="shared" si="10"/>
        <v>0</v>
      </c>
      <c r="L175" s="27">
        <f t="shared" si="11"/>
        <v>0</v>
      </c>
      <c r="M175" s="27">
        <f>Table43[[#This Row],[AMOUNT]]-Table43[[#This Row],[Column1]]</f>
        <v>0</v>
      </c>
      <c r="N175" s="27">
        <f>Table43[[#This Row],[Column3]]-Table43[[#This Row],[Column2]]</f>
        <v>0</v>
      </c>
      <c r="O175" s="27">
        <f>Table43[[#This Row],[Column4]]+Table43[[#This Row],[Column1]]</f>
        <v>0</v>
      </c>
      <c r="P175" s="27">
        <f>Table43[[#This Row],[Column5]]+Table43[[#This Row],[Column2]]</f>
        <v>0</v>
      </c>
      <c r="Q175" s="27">
        <f>Table43[[#This Row],[Column6]]-Table43[[#This Row],[AMOUNT]]</f>
        <v>0</v>
      </c>
    </row>
    <row r="176" spans="1:17" ht="17.100000000000001" customHeight="1" x14ac:dyDescent="0.2">
      <c r="A176" s="11"/>
      <c r="C176" s="12"/>
      <c r="D176" s="93"/>
      <c r="E176" s="32"/>
      <c r="F176" s="31"/>
      <c r="G176" s="33"/>
      <c r="H176" s="33"/>
      <c r="I176" s="34"/>
      <c r="J176" s="23"/>
      <c r="K176" s="27">
        <f t="shared" si="10"/>
        <v>0</v>
      </c>
      <c r="L176" s="27">
        <f t="shared" si="11"/>
        <v>0</v>
      </c>
      <c r="M176" s="27">
        <f>Table43[[#This Row],[AMOUNT]]-Table43[[#This Row],[Column1]]</f>
        <v>0</v>
      </c>
      <c r="N176" s="27">
        <f>Table43[[#This Row],[Column3]]-Table43[[#This Row],[Column2]]</f>
        <v>0</v>
      </c>
      <c r="O176" s="27">
        <f>Table43[[#This Row],[Column4]]+Table43[[#This Row],[Column1]]</f>
        <v>0</v>
      </c>
      <c r="P176" s="27">
        <f>Table43[[#This Row],[Column5]]+Table43[[#This Row],[Column2]]</f>
        <v>0</v>
      </c>
      <c r="Q176" s="27">
        <f>Table43[[#This Row],[Column6]]-Table43[[#This Row],[AMOUNT]]</f>
        <v>0</v>
      </c>
    </row>
    <row r="177" spans="1:17" ht="17.100000000000001" customHeight="1" x14ac:dyDescent="0.2">
      <c r="A177" s="11"/>
      <c r="C177" s="12"/>
      <c r="D177" s="93"/>
      <c r="E177" s="32"/>
      <c r="F177" s="31"/>
      <c r="G177" s="33"/>
      <c r="H177" s="33"/>
      <c r="I177" s="34"/>
      <c r="J177" s="23"/>
      <c r="K177" s="27">
        <f t="shared" si="10"/>
        <v>0</v>
      </c>
      <c r="L177" s="27">
        <f t="shared" si="11"/>
        <v>0</v>
      </c>
      <c r="M177" s="27">
        <f>Table43[[#This Row],[AMOUNT]]-Table43[[#This Row],[Column1]]</f>
        <v>0</v>
      </c>
      <c r="N177" s="27">
        <f>Table43[[#This Row],[Column3]]-Table43[[#This Row],[Column2]]</f>
        <v>0</v>
      </c>
      <c r="O177" s="27">
        <f>Table43[[#This Row],[Column4]]+Table43[[#This Row],[Column1]]</f>
        <v>0</v>
      </c>
      <c r="P177" s="27">
        <f>Table43[[#This Row],[Column5]]+Table43[[#This Row],[Column2]]</f>
        <v>0</v>
      </c>
      <c r="Q177" s="27">
        <f>Table43[[#This Row],[Column6]]-Table43[[#This Row],[AMOUNT]]</f>
        <v>0</v>
      </c>
    </row>
    <row r="178" spans="1:17" ht="17.100000000000001" customHeight="1" x14ac:dyDescent="0.2">
      <c r="A178" s="11"/>
      <c r="C178" s="12"/>
      <c r="D178" s="93"/>
      <c r="E178" s="32"/>
      <c r="F178" s="31"/>
      <c r="G178" s="33"/>
      <c r="H178" s="33"/>
      <c r="I178" s="34"/>
      <c r="J178" s="23"/>
      <c r="K178" s="27">
        <f t="shared" si="10"/>
        <v>0</v>
      </c>
      <c r="L178" s="27">
        <f t="shared" si="11"/>
        <v>0</v>
      </c>
      <c r="M178" s="27">
        <f>Table43[[#This Row],[AMOUNT]]-Table43[[#This Row],[Column1]]</f>
        <v>0</v>
      </c>
      <c r="N178" s="27">
        <f>Table43[[#This Row],[Column3]]-Table43[[#This Row],[Column2]]</f>
        <v>0</v>
      </c>
      <c r="O178" s="27">
        <f>Table43[[#This Row],[Column4]]+Table43[[#This Row],[Column1]]</f>
        <v>0</v>
      </c>
      <c r="P178" s="27">
        <f>Table43[[#This Row],[Column5]]+Table43[[#This Row],[Column2]]</f>
        <v>0</v>
      </c>
      <c r="Q178" s="27">
        <f>Table43[[#This Row],[Column6]]-Table43[[#This Row],[AMOUNT]]</f>
        <v>0</v>
      </c>
    </row>
    <row r="179" spans="1:17" ht="17.100000000000001" customHeight="1" x14ac:dyDescent="0.2">
      <c r="A179" s="11"/>
      <c r="C179" s="12"/>
      <c r="D179" s="93"/>
      <c r="E179" s="32"/>
      <c r="F179" s="31"/>
      <c r="G179" s="33"/>
      <c r="H179" s="33"/>
      <c r="I179" s="34"/>
      <c r="J179" s="23"/>
      <c r="K179" s="27">
        <f t="shared" si="10"/>
        <v>0</v>
      </c>
      <c r="L179" s="27">
        <f t="shared" si="11"/>
        <v>0</v>
      </c>
      <c r="M179" s="27">
        <f>Table43[[#This Row],[AMOUNT]]-Table43[[#This Row],[Column1]]</f>
        <v>0</v>
      </c>
      <c r="N179" s="27">
        <f>Table43[[#This Row],[Column3]]-Table43[[#This Row],[Column2]]</f>
        <v>0</v>
      </c>
      <c r="O179" s="27">
        <f>Table43[[#This Row],[Column4]]+Table43[[#This Row],[Column1]]</f>
        <v>0</v>
      </c>
      <c r="P179" s="27">
        <f>Table43[[#This Row],[Column5]]+Table43[[#This Row],[Column2]]</f>
        <v>0</v>
      </c>
      <c r="Q179" s="27">
        <f>Table43[[#This Row],[Column6]]-Table43[[#This Row],[AMOUNT]]</f>
        <v>0</v>
      </c>
    </row>
    <row r="180" spans="1:17" ht="17.100000000000001" customHeight="1" x14ac:dyDescent="0.2">
      <c r="A180" s="11"/>
      <c r="C180" s="12"/>
      <c r="D180" s="93"/>
      <c r="E180" s="32"/>
      <c r="F180" s="31"/>
      <c r="G180" s="33"/>
      <c r="H180" s="33"/>
      <c r="I180" s="34"/>
      <c r="J180" s="23"/>
      <c r="K180" s="27">
        <f t="shared" si="10"/>
        <v>0</v>
      </c>
      <c r="L180" s="27">
        <f t="shared" si="11"/>
        <v>0</v>
      </c>
      <c r="M180" s="27">
        <f>Table43[[#This Row],[AMOUNT]]-Table43[[#This Row],[Column1]]</f>
        <v>0</v>
      </c>
      <c r="N180" s="27">
        <f>Table43[[#This Row],[Column3]]-Table43[[#This Row],[Column2]]</f>
        <v>0</v>
      </c>
      <c r="O180" s="27">
        <f>Table43[[#This Row],[Column4]]+Table43[[#This Row],[Column1]]</f>
        <v>0</v>
      </c>
      <c r="P180" s="27">
        <f>Table43[[#This Row],[Column5]]+Table43[[#This Row],[Column2]]</f>
        <v>0</v>
      </c>
      <c r="Q180" s="27">
        <f>Table43[[#This Row],[Column6]]-Table43[[#This Row],[AMOUNT]]</f>
        <v>0</v>
      </c>
    </row>
    <row r="181" spans="1:17" ht="17.100000000000001" customHeight="1" x14ac:dyDescent="0.2">
      <c r="A181" s="11"/>
      <c r="C181" s="12"/>
      <c r="D181" s="93"/>
      <c r="E181" s="32"/>
      <c r="F181" s="31"/>
      <c r="G181" s="33"/>
      <c r="H181" s="33"/>
      <c r="I181" s="34"/>
      <c r="J181" s="23"/>
      <c r="K181" s="27">
        <f t="shared" si="10"/>
        <v>0</v>
      </c>
      <c r="L181" s="27">
        <f t="shared" si="11"/>
        <v>0</v>
      </c>
      <c r="M181" s="27">
        <f>Table43[[#This Row],[AMOUNT]]-Table43[[#This Row],[Column1]]</f>
        <v>0</v>
      </c>
      <c r="N181" s="27">
        <f>Table43[[#This Row],[Column3]]-Table43[[#This Row],[Column2]]</f>
        <v>0</v>
      </c>
      <c r="O181" s="27">
        <f>Table43[[#This Row],[Column4]]+Table43[[#This Row],[Column1]]</f>
        <v>0</v>
      </c>
      <c r="P181" s="27">
        <f>Table43[[#This Row],[Column5]]+Table43[[#This Row],[Column2]]</f>
        <v>0</v>
      </c>
      <c r="Q181" s="27">
        <f>Table43[[#This Row],[Column6]]-Table43[[#This Row],[AMOUNT]]</f>
        <v>0</v>
      </c>
    </row>
    <row r="182" spans="1:17" ht="17.100000000000001" customHeight="1" x14ac:dyDescent="0.2">
      <c r="A182" s="11"/>
      <c r="C182" s="12"/>
      <c r="D182" s="93"/>
      <c r="E182" s="32"/>
      <c r="F182" s="31"/>
      <c r="G182" s="33"/>
      <c r="H182" s="33"/>
      <c r="I182" s="34"/>
      <c r="J182" s="23"/>
      <c r="K182" s="27">
        <f t="shared" si="10"/>
        <v>0</v>
      </c>
      <c r="L182" s="27">
        <f t="shared" si="11"/>
        <v>0</v>
      </c>
      <c r="M182" s="27">
        <f>Table43[[#This Row],[AMOUNT]]-Table43[[#This Row],[Column1]]</f>
        <v>0</v>
      </c>
      <c r="N182" s="27">
        <f>Table43[[#This Row],[Column3]]-Table43[[#This Row],[Column2]]</f>
        <v>0</v>
      </c>
      <c r="O182" s="27">
        <f>Table43[[#This Row],[Column4]]+Table43[[#This Row],[Column1]]</f>
        <v>0</v>
      </c>
      <c r="P182" s="27">
        <f>Table43[[#This Row],[Column5]]+Table43[[#This Row],[Column2]]</f>
        <v>0</v>
      </c>
      <c r="Q182" s="27">
        <f>Table43[[#This Row],[Column6]]-Table43[[#This Row],[AMOUNT]]</f>
        <v>0</v>
      </c>
    </row>
    <row r="183" spans="1:17" ht="17.100000000000001" customHeight="1" x14ac:dyDescent="0.2">
      <c r="A183" s="11"/>
      <c r="C183" s="12"/>
      <c r="D183" s="93"/>
      <c r="E183" s="32"/>
      <c r="F183" s="31"/>
      <c r="G183" s="33"/>
      <c r="H183" s="33"/>
      <c r="I183" s="34"/>
      <c r="J183" s="23"/>
      <c r="K183" s="27">
        <f t="shared" si="10"/>
        <v>0</v>
      </c>
      <c r="L183" s="27">
        <f t="shared" si="11"/>
        <v>0</v>
      </c>
      <c r="M183" s="27">
        <f>Table43[[#This Row],[AMOUNT]]-Table43[[#This Row],[Column1]]</f>
        <v>0</v>
      </c>
      <c r="N183" s="27">
        <f>Table43[[#This Row],[Column3]]-Table43[[#This Row],[Column2]]</f>
        <v>0</v>
      </c>
      <c r="O183" s="27">
        <f>Table43[[#This Row],[Column4]]+Table43[[#This Row],[Column1]]</f>
        <v>0</v>
      </c>
      <c r="P183" s="27">
        <f>Table43[[#This Row],[Column5]]+Table43[[#This Row],[Column2]]</f>
        <v>0</v>
      </c>
      <c r="Q183" s="27">
        <f>Table43[[#This Row],[Column6]]-Table43[[#This Row],[AMOUNT]]</f>
        <v>0</v>
      </c>
    </row>
    <row r="184" spans="1:17" ht="17.100000000000001" customHeight="1" x14ac:dyDescent="0.2">
      <c r="A184" s="11"/>
      <c r="C184" s="12"/>
      <c r="D184" s="93"/>
      <c r="E184" s="32"/>
      <c r="F184" s="31"/>
      <c r="G184" s="33"/>
      <c r="H184" s="33"/>
      <c r="I184" s="34"/>
      <c r="J184" s="23"/>
      <c r="K184" s="27">
        <f t="shared" si="10"/>
        <v>0</v>
      </c>
      <c r="L184" s="27">
        <f t="shared" si="11"/>
        <v>0</v>
      </c>
      <c r="M184" s="27">
        <f>Table43[[#This Row],[AMOUNT]]-Table43[[#This Row],[Column1]]</f>
        <v>0</v>
      </c>
      <c r="N184" s="27">
        <f>Table43[[#This Row],[Column3]]-Table43[[#This Row],[Column2]]</f>
        <v>0</v>
      </c>
      <c r="O184" s="27">
        <f>Table43[[#This Row],[Column4]]+Table43[[#This Row],[Column1]]</f>
        <v>0</v>
      </c>
      <c r="P184" s="27">
        <f>Table43[[#This Row],[Column5]]+Table43[[#This Row],[Column2]]</f>
        <v>0</v>
      </c>
      <c r="Q184" s="27">
        <f>Table43[[#This Row],[Column6]]-Table43[[#This Row],[AMOUNT]]</f>
        <v>0</v>
      </c>
    </row>
    <row r="185" spans="1:17" ht="17.100000000000001" customHeight="1" x14ac:dyDescent="0.2">
      <c r="A185" s="11"/>
      <c r="C185" s="12"/>
      <c r="D185" s="93"/>
      <c r="E185" s="32"/>
      <c r="F185" s="31"/>
      <c r="G185" s="33"/>
      <c r="H185" s="33"/>
      <c r="I185" s="34"/>
      <c r="J185" s="23"/>
      <c r="K185" s="27">
        <f t="shared" si="10"/>
        <v>0</v>
      </c>
      <c r="L185" s="27">
        <f t="shared" si="11"/>
        <v>0</v>
      </c>
      <c r="M185" s="27">
        <f>Table43[[#This Row],[AMOUNT]]-Table43[[#This Row],[Column1]]</f>
        <v>0</v>
      </c>
      <c r="N185" s="27">
        <f>Table43[[#This Row],[Column3]]-Table43[[#This Row],[Column2]]</f>
        <v>0</v>
      </c>
      <c r="O185" s="27">
        <f>Table43[[#This Row],[Column4]]+Table43[[#This Row],[Column1]]</f>
        <v>0</v>
      </c>
      <c r="P185" s="27">
        <f>Table43[[#This Row],[Column5]]+Table43[[#This Row],[Column2]]</f>
        <v>0</v>
      </c>
      <c r="Q185" s="27">
        <f>Table43[[#This Row],[Column6]]-Table43[[#This Row],[AMOUNT]]</f>
        <v>0</v>
      </c>
    </row>
    <row r="186" spans="1:17" ht="17.100000000000001" customHeight="1" x14ac:dyDescent="0.2">
      <c r="A186" s="11"/>
      <c r="C186" s="12"/>
      <c r="D186" s="93"/>
      <c r="E186" s="32"/>
      <c r="F186" s="31"/>
      <c r="G186" s="33"/>
      <c r="H186" s="33"/>
      <c r="I186" s="34"/>
      <c r="J186" s="23"/>
      <c r="K186" s="27">
        <f t="shared" si="10"/>
        <v>0</v>
      </c>
      <c r="L186" s="27">
        <f t="shared" si="11"/>
        <v>0</v>
      </c>
      <c r="M186" s="27">
        <f>Table43[[#This Row],[AMOUNT]]-Table43[[#This Row],[Column1]]</f>
        <v>0</v>
      </c>
      <c r="N186" s="27">
        <f>Table43[[#This Row],[Column3]]-Table43[[#This Row],[Column2]]</f>
        <v>0</v>
      </c>
      <c r="O186" s="27">
        <f>Table43[[#This Row],[Column4]]+Table43[[#This Row],[Column1]]</f>
        <v>0</v>
      </c>
      <c r="P186" s="27">
        <f>Table43[[#This Row],[Column5]]+Table43[[#This Row],[Column2]]</f>
        <v>0</v>
      </c>
      <c r="Q186" s="27">
        <f>Table43[[#This Row],[Column6]]-Table43[[#This Row],[AMOUNT]]</f>
        <v>0</v>
      </c>
    </row>
    <row r="187" spans="1:17" ht="17.100000000000001" customHeight="1" x14ac:dyDescent="0.2">
      <c r="A187" s="59"/>
      <c r="B187" s="26"/>
      <c r="C187" s="29"/>
      <c r="D187" s="29"/>
      <c r="E187" s="29"/>
      <c r="F187" s="26"/>
      <c r="G187" s="58"/>
      <c r="H187" s="58"/>
      <c r="I187" s="96"/>
      <c r="J187" s="97"/>
      <c r="K187" s="27">
        <f t="shared" si="10"/>
        <v>0</v>
      </c>
      <c r="L187" s="27">
        <f t="shared" si="11"/>
        <v>0</v>
      </c>
      <c r="M187" s="27">
        <f>Table43[[#This Row],[AMOUNT]]-Table43[[#This Row],[Column1]]</f>
        <v>0</v>
      </c>
      <c r="N187" s="27">
        <f>Table43[[#This Row],[Column3]]-Table43[[#This Row],[Column2]]</f>
        <v>0</v>
      </c>
      <c r="O187" s="27">
        <f>Table43[[#This Row],[Column4]]+Table43[[#This Row],[Column1]]</f>
        <v>0</v>
      </c>
      <c r="P187" s="27">
        <f>Table43[[#This Row],[Column5]]+Table43[[#This Row],[Column2]]</f>
        <v>0</v>
      </c>
      <c r="Q187" s="27">
        <f>Table43[[#This Row],[Column6]]-Table43[[#This Row],[AMOUNT]]</f>
        <v>0</v>
      </c>
    </row>
    <row r="188" spans="1:17" ht="17.100000000000001" customHeight="1" x14ac:dyDescent="0.2">
      <c r="A188" s="59"/>
      <c r="B188" s="26"/>
      <c r="C188" s="29"/>
      <c r="D188" s="29"/>
      <c r="E188" s="29"/>
      <c r="F188" s="26"/>
      <c r="G188" s="58"/>
      <c r="H188" s="58"/>
      <c r="I188" s="96"/>
      <c r="J188" s="57"/>
      <c r="K188" s="27">
        <f t="shared" si="10"/>
        <v>0</v>
      </c>
      <c r="L188" s="27">
        <f t="shared" si="11"/>
        <v>0</v>
      </c>
      <c r="M188" s="27">
        <f>Table43[[#This Row],[AMOUNT]]-Table43[[#This Row],[Column1]]</f>
        <v>0</v>
      </c>
      <c r="N188" s="27">
        <f>Table43[[#This Row],[Column3]]-Table43[[#This Row],[Column2]]</f>
        <v>0</v>
      </c>
      <c r="O188" s="27">
        <f>Table43[[#This Row],[Column4]]+Table43[[#This Row],[Column1]]</f>
        <v>0</v>
      </c>
      <c r="P188" s="27">
        <f>Table43[[#This Row],[Column5]]+Table43[[#This Row],[Column2]]</f>
        <v>0</v>
      </c>
      <c r="Q188" s="27">
        <f>Table43[[#This Row],[Column6]]-Table43[[#This Row],[AMOUNT]]</f>
        <v>0</v>
      </c>
    </row>
    <row r="189" spans="1:17" ht="17.100000000000001" customHeight="1" x14ac:dyDescent="0.2">
      <c r="A189" s="59"/>
      <c r="B189" s="26"/>
      <c r="C189" s="29"/>
      <c r="D189" s="29"/>
      <c r="E189" s="29"/>
      <c r="F189" s="26"/>
      <c r="G189" s="58"/>
      <c r="H189" s="58"/>
      <c r="I189" s="96"/>
      <c r="J189" s="97"/>
      <c r="K189" s="27">
        <f t="shared" si="10"/>
        <v>0</v>
      </c>
      <c r="L189" s="27">
        <f t="shared" si="11"/>
        <v>0</v>
      </c>
      <c r="M189" s="27">
        <f>Table43[[#This Row],[AMOUNT]]-Table43[[#This Row],[Column1]]</f>
        <v>0</v>
      </c>
      <c r="N189" s="27">
        <f>Table43[[#This Row],[Column3]]-Table43[[#This Row],[Column2]]</f>
        <v>0</v>
      </c>
      <c r="O189" s="27">
        <f>Table43[[#This Row],[Column4]]+Table43[[#This Row],[Column1]]</f>
        <v>0</v>
      </c>
      <c r="P189" s="27">
        <f>Table43[[#This Row],[Column5]]+Table43[[#This Row],[Column2]]</f>
        <v>0</v>
      </c>
      <c r="Q189" s="27">
        <f>Table43[[#This Row],[Column6]]-Table43[[#This Row],[AMOUNT]]</f>
        <v>0</v>
      </c>
    </row>
    <row r="190" spans="1:17" ht="17.100000000000001" customHeight="1" x14ac:dyDescent="0.2">
      <c r="A190" s="59"/>
      <c r="B190" s="26"/>
      <c r="C190" s="29"/>
      <c r="D190" s="29"/>
      <c r="E190" s="29"/>
      <c r="F190" s="26"/>
      <c r="G190" s="58"/>
      <c r="H190" s="58"/>
      <c r="I190" s="96"/>
      <c r="J190" s="97"/>
      <c r="K190" s="27">
        <f t="shared" si="10"/>
        <v>0</v>
      </c>
      <c r="L190" s="27">
        <f t="shared" si="11"/>
        <v>0</v>
      </c>
      <c r="M190" s="27">
        <f>Table43[[#This Row],[AMOUNT]]-Table43[[#This Row],[Column1]]</f>
        <v>0</v>
      </c>
      <c r="N190" s="27">
        <f>Table43[[#This Row],[Column3]]-Table43[[#This Row],[Column2]]</f>
        <v>0</v>
      </c>
      <c r="O190" s="27">
        <f>Table43[[#This Row],[Column4]]+Table43[[#This Row],[Column1]]</f>
        <v>0</v>
      </c>
      <c r="P190" s="27">
        <f>Table43[[#This Row],[Column5]]+Table43[[#This Row],[Column2]]</f>
        <v>0</v>
      </c>
      <c r="Q190" s="27">
        <f>Table43[[#This Row],[Column6]]-Table43[[#This Row],[AMOUNT]]</f>
        <v>0</v>
      </c>
    </row>
    <row r="191" spans="1:17" ht="17.100000000000001" customHeight="1" x14ac:dyDescent="0.2">
      <c r="A191" s="59"/>
      <c r="B191" s="26"/>
      <c r="C191" s="29"/>
      <c r="D191" s="29"/>
      <c r="E191" s="29"/>
      <c r="F191" s="26"/>
      <c r="G191" s="58"/>
      <c r="H191" s="58"/>
      <c r="I191" s="96"/>
      <c r="J191" s="97"/>
      <c r="K191" s="27">
        <f t="shared" si="10"/>
        <v>0</v>
      </c>
      <c r="L191" s="27">
        <f t="shared" si="11"/>
        <v>0</v>
      </c>
      <c r="M191" s="27">
        <f>Table43[[#This Row],[AMOUNT]]-Table43[[#This Row],[Column1]]</f>
        <v>0</v>
      </c>
      <c r="N191" s="27">
        <f>Table43[[#This Row],[Column3]]-Table43[[#This Row],[Column2]]</f>
        <v>0</v>
      </c>
      <c r="O191" s="27">
        <f>Table43[[#This Row],[Column4]]+Table43[[#This Row],[Column1]]</f>
        <v>0</v>
      </c>
      <c r="P191" s="27">
        <f>Table43[[#This Row],[Column5]]+Table43[[#This Row],[Column2]]</f>
        <v>0</v>
      </c>
      <c r="Q191" s="27">
        <f>Table43[[#This Row],[Column6]]-Table43[[#This Row],[AMOUNT]]</f>
        <v>0</v>
      </c>
    </row>
    <row r="192" spans="1:17" ht="17.100000000000001" customHeight="1" x14ac:dyDescent="0.2">
      <c r="A192" s="91"/>
      <c r="B192" s="92"/>
      <c r="C192" s="93"/>
      <c r="D192" s="93"/>
      <c r="E192" s="93"/>
      <c r="F192" s="92"/>
      <c r="G192" s="94"/>
      <c r="H192" s="94"/>
      <c r="I192" s="22"/>
      <c r="J192" s="23"/>
      <c r="K192" s="27">
        <f t="shared" si="10"/>
        <v>0</v>
      </c>
      <c r="L192" s="27">
        <f t="shared" si="11"/>
        <v>0</v>
      </c>
      <c r="M192" s="27">
        <f>Table43[[#This Row],[AMOUNT]]-Table43[[#This Row],[Column1]]</f>
        <v>0</v>
      </c>
      <c r="N192" s="27">
        <f>Table43[[#This Row],[Column3]]-Table43[[#This Row],[Column2]]</f>
        <v>0</v>
      </c>
      <c r="O192" s="27">
        <f>Table43[[#This Row],[Column4]]+Table43[[#This Row],[Column1]]</f>
        <v>0</v>
      </c>
      <c r="P192" s="27">
        <f>Table43[[#This Row],[Column5]]+Table43[[#This Row],[Column2]]</f>
        <v>0</v>
      </c>
      <c r="Q192" s="27">
        <f>Table43[[#This Row],[Column6]]-Table43[[#This Row],[AMOUNT]]</f>
        <v>0</v>
      </c>
    </row>
    <row r="193" spans="1:17" ht="17.100000000000001" customHeight="1" x14ac:dyDescent="0.2">
      <c r="A193" s="91"/>
      <c r="B193" s="92"/>
      <c r="C193" s="93"/>
      <c r="D193" s="93"/>
      <c r="E193" s="93"/>
      <c r="F193" s="92"/>
      <c r="G193" s="94"/>
      <c r="H193" s="94"/>
      <c r="I193" s="22"/>
      <c r="J193" s="23"/>
      <c r="K193" s="27">
        <f t="shared" si="10"/>
        <v>0</v>
      </c>
      <c r="L193" s="27">
        <f t="shared" si="11"/>
        <v>0</v>
      </c>
      <c r="M193" s="27">
        <f>Table43[[#This Row],[AMOUNT]]-Table43[[#This Row],[Column1]]</f>
        <v>0</v>
      </c>
      <c r="N193" s="27">
        <f>Table43[[#This Row],[Column3]]-Table43[[#This Row],[Column2]]</f>
        <v>0</v>
      </c>
      <c r="O193" s="27">
        <f>Table43[[#This Row],[Column4]]+Table43[[#This Row],[Column1]]</f>
        <v>0</v>
      </c>
      <c r="P193" s="27">
        <f>Table43[[#This Row],[Column5]]+Table43[[#This Row],[Column2]]</f>
        <v>0</v>
      </c>
      <c r="Q193" s="27">
        <f>Table43[[#This Row],[Column6]]-Table43[[#This Row],[AMOUNT]]</f>
        <v>0</v>
      </c>
    </row>
    <row r="194" spans="1:17" ht="17.100000000000001" customHeight="1" x14ac:dyDescent="0.2">
      <c r="A194" s="91"/>
      <c r="B194" s="92"/>
      <c r="C194" s="93"/>
      <c r="D194" s="93"/>
      <c r="E194" s="93"/>
      <c r="F194" s="92"/>
      <c r="G194" s="94"/>
      <c r="H194" s="94"/>
      <c r="I194" s="22"/>
      <c r="J194" s="23"/>
      <c r="K194" s="27">
        <f t="shared" si="10"/>
        <v>0</v>
      </c>
      <c r="L194" s="27">
        <f t="shared" si="11"/>
        <v>0</v>
      </c>
      <c r="M194" s="27">
        <f>Table43[[#This Row],[AMOUNT]]-Table43[[#This Row],[Column1]]</f>
        <v>0</v>
      </c>
      <c r="N194" s="27">
        <f>Table43[[#This Row],[Column3]]-Table43[[#This Row],[Column2]]</f>
        <v>0</v>
      </c>
      <c r="O194" s="27">
        <f>Table43[[#This Row],[Column4]]+Table43[[#This Row],[Column1]]</f>
        <v>0</v>
      </c>
      <c r="P194" s="27">
        <f>Table43[[#This Row],[Column5]]+Table43[[#This Row],[Column2]]</f>
        <v>0</v>
      </c>
      <c r="Q194" s="27">
        <f>Table43[[#This Row],[Column6]]-Table43[[#This Row],[AMOUNT]]</f>
        <v>0</v>
      </c>
    </row>
    <row r="195" spans="1:17" ht="17.100000000000001" customHeight="1" x14ac:dyDescent="0.2">
      <c r="A195" s="91"/>
      <c r="B195" s="92"/>
      <c r="C195" s="93"/>
      <c r="D195" s="93"/>
      <c r="E195" s="93"/>
      <c r="F195" s="92"/>
      <c r="G195" s="94"/>
      <c r="H195" s="94"/>
      <c r="I195" s="22"/>
      <c r="J195" s="23"/>
      <c r="K195" s="27">
        <f t="shared" si="10"/>
        <v>0</v>
      </c>
      <c r="L195" s="27">
        <f t="shared" si="11"/>
        <v>0</v>
      </c>
      <c r="M195" s="27">
        <f>Table43[[#This Row],[AMOUNT]]-Table43[[#This Row],[Column1]]</f>
        <v>0</v>
      </c>
      <c r="N195" s="27">
        <f>Table43[[#This Row],[Column3]]-Table43[[#This Row],[Column2]]</f>
        <v>0</v>
      </c>
      <c r="O195" s="27">
        <f>Table43[[#This Row],[Column4]]+Table43[[#This Row],[Column1]]</f>
        <v>0</v>
      </c>
      <c r="P195" s="27">
        <f>Table43[[#This Row],[Column5]]+Table43[[#This Row],[Column2]]</f>
        <v>0</v>
      </c>
      <c r="Q195" s="27">
        <f>Table43[[#This Row],[Column6]]-Table43[[#This Row],[AMOUNT]]</f>
        <v>0</v>
      </c>
    </row>
    <row r="196" spans="1:17" ht="17.100000000000001" customHeight="1" x14ac:dyDescent="0.2">
      <c r="A196" s="91"/>
      <c r="B196" s="92"/>
      <c r="C196" s="93"/>
      <c r="D196" s="93"/>
      <c r="E196" s="93"/>
      <c r="F196" s="92"/>
      <c r="G196" s="94"/>
      <c r="H196" s="94"/>
      <c r="I196" s="22"/>
      <c r="J196" s="23"/>
      <c r="K196" s="27">
        <f t="shared" si="10"/>
        <v>0</v>
      </c>
      <c r="L196" s="27">
        <f t="shared" si="11"/>
        <v>0</v>
      </c>
      <c r="M196" s="27">
        <f>Table43[[#This Row],[AMOUNT]]-Table43[[#This Row],[Column1]]</f>
        <v>0</v>
      </c>
      <c r="N196" s="27">
        <f>Table43[[#This Row],[Column3]]-Table43[[#This Row],[Column2]]</f>
        <v>0</v>
      </c>
      <c r="O196" s="27">
        <f>Table43[[#This Row],[Column4]]+Table43[[#This Row],[Column1]]</f>
        <v>0</v>
      </c>
      <c r="P196" s="27">
        <f>Table43[[#This Row],[Column5]]+Table43[[#This Row],[Column2]]</f>
        <v>0</v>
      </c>
      <c r="Q196" s="27">
        <f>Table43[[#This Row],[Column6]]-Table43[[#This Row],[AMOUNT]]</f>
        <v>0</v>
      </c>
    </row>
    <row r="197" spans="1:17" ht="17.100000000000001" customHeight="1" x14ac:dyDescent="0.2">
      <c r="A197" s="91"/>
      <c r="B197" s="92"/>
      <c r="C197" s="93"/>
      <c r="D197" s="93"/>
      <c r="E197" s="93"/>
      <c r="F197" s="92"/>
      <c r="G197" s="94"/>
      <c r="H197" s="94"/>
      <c r="I197" s="22"/>
      <c r="J197" s="23"/>
      <c r="K197" s="27">
        <f t="shared" si="10"/>
        <v>0</v>
      </c>
      <c r="L197" s="27">
        <f t="shared" si="11"/>
        <v>0</v>
      </c>
      <c r="M197" s="27">
        <f>Table43[[#This Row],[AMOUNT]]-Table43[[#This Row],[Column1]]</f>
        <v>0</v>
      </c>
      <c r="N197" s="27">
        <f>Table43[[#This Row],[Column3]]-Table43[[#This Row],[Column2]]</f>
        <v>0</v>
      </c>
      <c r="O197" s="27">
        <f>Table43[[#This Row],[Column4]]+Table43[[#This Row],[Column1]]</f>
        <v>0</v>
      </c>
      <c r="P197" s="27">
        <f>Table43[[#This Row],[Column5]]+Table43[[#This Row],[Column2]]</f>
        <v>0</v>
      </c>
      <c r="Q197" s="27">
        <f>Table43[[#This Row],[Column6]]-Table43[[#This Row],[AMOUNT]]</f>
        <v>0</v>
      </c>
    </row>
    <row r="198" spans="1:17" ht="17.100000000000001" customHeight="1" x14ac:dyDescent="0.2">
      <c r="A198" s="91"/>
      <c r="B198" s="92"/>
      <c r="C198" s="93"/>
      <c r="D198" s="93"/>
      <c r="E198" s="93"/>
      <c r="F198" s="92"/>
      <c r="G198" s="94"/>
      <c r="H198" s="94"/>
      <c r="I198" s="22"/>
      <c r="J198" s="23"/>
      <c r="K198" s="27">
        <f t="shared" si="10"/>
        <v>0</v>
      </c>
      <c r="L198" s="27">
        <f t="shared" si="11"/>
        <v>0</v>
      </c>
      <c r="M198" s="27">
        <f>Table43[[#This Row],[AMOUNT]]-Table43[[#This Row],[Column1]]</f>
        <v>0</v>
      </c>
      <c r="N198" s="27">
        <f>Table43[[#This Row],[Column3]]-Table43[[#This Row],[Column2]]</f>
        <v>0</v>
      </c>
      <c r="O198" s="27">
        <f>Table43[[#This Row],[Column4]]+Table43[[#This Row],[Column1]]</f>
        <v>0</v>
      </c>
      <c r="P198" s="27">
        <f>Table43[[#This Row],[Column5]]+Table43[[#This Row],[Column2]]</f>
        <v>0</v>
      </c>
      <c r="Q198" s="27">
        <f>Table43[[#This Row],[Column6]]-Table43[[#This Row],[AMOUNT]]</f>
        <v>0</v>
      </c>
    </row>
    <row r="199" spans="1:17" ht="17.100000000000001" customHeight="1" x14ac:dyDescent="0.2">
      <c r="A199" s="30"/>
      <c r="B199" s="31"/>
      <c r="C199" s="32"/>
      <c r="D199" s="32"/>
      <c r="E199" s="32"/>
      <c r="F199" s="31"/>
      <c r="G199" s="33"/>
      <c r="H199" s="33"/>
      <c r="I199" s="34"/>
      <c r="J199" s="23"/>
      <c r="K199" s="27">
        <f t="shared" si="10"/>
        <v>0</v>
      </c>
      <c r="L199" s="27">
        <f t="shared" si="11"/>
        <v>0</v>
      </c>
      <c r="M199" s="27">
        <f>Table43[[#This Row],[AMOUNT]]-Table43[[#This Row],[Column1]]</f>
        <v>0</v>
      </c>
      <c r="N199" s="27">
        <f>Table43[[#This Row],[Column3]]-Table43[[#This Row],[Column2]]</f>
        <v>0</v>
      </c>
      <c r="O199" s="27">
        <f>Table43[[#This Row],[Column4]]+Table43[[#This Row],[Column1]]</f>
        <v>0</v>
      </c>
      <c r="P199" s="27">
        <f>Table43[[#This Row],[Column5]]+Table43[[#This Row],[Column2]]</f>
        <v>0</v>
      </c>
      <c r="Q199" s="27">
        <f>Table43[[#This Row],[Column6]]-Table43[[#This Row],[AMOUNT]]</f>
        <v>0</v>
      </c>
    </row>
    <row r="200" spans="1:17" ht="17.100000000000001" customHeight="1" x14ac:dyDescent="0.2">
      <c r="A200" s="35" t="s">
        <v>15</v>
      </c>
      <c r="B200" s="36"/>
      <c r="C200" s="35"/>
      <c r="D200" s="100">
        <f>SUBTOTAL(109,Table43[QTY.])</f>
        <v>0</v>
      </c>
      <c r="E200" s="35"/>
      <c r="F200" s="36"/>
      <c r="G200" s="37"/>
      <c r="H200" s="37"/>
      <c r="I200" s="38">
        <f>SUBTOTAL(109,Table43[AMOUNT])</f>
        <v>0</v>
      </c>
      <c r="J200" s="38">
        <f>SUBTOTAL(109,Table43[AMT/DR])</f>
        <v>0</v>
      </c>
      <c r="K200" s="38">
        <f>SUBTOTAL(109,Table43[Column1])</f>
        <v>0</v>
      </c>
      <c r="L200" s="38">
        <f>SUBTOTAL(109,Table43[AMT/DR])</f>
        <v>0</v>
      </c>
      <c r="M200" s="38">
        <f>SUBTOTAL(109,Table43[AMT/DR])</f>
        <v>0</v>
      </c>
      <c r="N200"/>
      <c r="O200"/>
      <c r="P200"/>
      <c r="Q200"/>
    </row>
    <row r="201" spans="1:17" ht="17.100000000000001" customHeight="1" x14ac:dyDescent="0.2">
      <c r="A201" s="30"/>
      <c r="B201" s="31"/>
      <c r="C201" s="32"/>
      <c r="D201" s="32"/>
      <c r="E201" s="32"/>
      <c r="F201" s="31"/>
      <c r="G201" s="33"/>
      <c r="H201" s="33"/>
      <c r="I201" s="34"/>
      <c r="J201" s="23">
        <f>Table43[[#Totals],[AMOUNT]]-Table43[[#Totals],[AMT/DR]]</f>
        <v>0</v>
      </c>
    </row>
    <row r="202" spans="1:17" ht="17.100000000000001" customHeight="1" x14ac:dyDescent="0.2">
      <c r="A202" s="30"/>
      <c r="B202" s="31"/>
      <c r="C202" s="32"/>
      <c r="D202" s="32"/>
      <c r="E202" s="32"/>
      <c r="F202" s="31"/>
      <c r="G202" s="33"/>
      <c r="H202" s="33"/>
      <c r="I202" s="34"/>
      <c r="J202" s="23"/>
    </row>
    <row r="203" spans="1:17" ht="17.100000000000001" customHeight="1" x14ac:dyDescent="0.2">
      <c r="A203" s="30"/>
      <c r="B203" s="31"/>
      <c r="C203" s="32"/>
      <c r="D203" s="32"/>
      <c r="E203" s="32"/>
      <c r="F203" s="31"/>
      <c r="G203" s="33"/>
      <c r="H203" s="33"/>
      <c r="I203" s="34"/>
      <c r="J203" s="23"/>
    </row>
    <row r="204" spans="1:17" ht="17.100000000000001" customHeight="1" x14ac:dyDescent="0.2">
      <c r="A204" s="30"/>
      <c r="B204" s="31"/>
      <c r="C204" s="32"/>
      <c r="D204" s="32"/>
      <c r="E204" s="32"/>
      <c r="F204" s="31"/>
      <c r="G204" s="33"/>
      <c r="H204" s="33"/>
      <c r="I204" s="34"/>
      <c r="J204" s="23"/>
    </row>
    <row r="205" spans="1:17" ht="17.100000000000001" customHeight="1" x14ac:dyDescent="0.2">
      <c r="A205" s="39"/>
      <c r="C205" s="12"/>
      <c r="D205" s="12"/>
      <c r="E205" s="12"/>
      <c r="G205" s="10"/>
      <c r="H205" s="10"/>
      <c r="I205" s="14"/>
      <c r="J205" s="15"/>
    </row>
    <row r="206" spans="1:17" ht="17.100000000000001" customHeight="1" x14ac:dyDescent="0.2">
      <c r="A206" s="39"/>
      <c r="C206" s="12"/>
      <c r="D206" s="12"/>
      <c r="E206" s="12"/>
      <c r="G206" s="10"/>
      <c r="H206" s="10"/>
      <c r="I206" s="14"/>
      <c r="J206" s="15"/>
    </row>
    <row r="207" spans="1:17" ht="17.100000000000001" customHeight="1" x14ac:dyDescent="0.2">
      <c r="A207" s="39"/>
      <c r="C207" s="12"/>
      <c r="D207" s="12"/>
      <c r="E207" s="12"/>
      <c r="G207" s="10"/>
      <c r="H207" s="10"/>
      <c r="I207" s="14"/>
      <c r="J207" s="15"/>
    </row>
    <row r="208" spans="1:17" ht="17.100000000000001" customHeight="1" x14ac:dyDescent="0.2">
      <c r="A208" s="40"/>
      <c r="B208" s="41"/>
      <c r="C208" s="41"/>
      <c r="D208" s="42"/>
      <c r="E208" s="42"/>
      <c r="F208" s="43"/>
      <c r="G208" s="44"/>
      <c r="H208" s="44"/>
      <c r="I208" s="23"/>
      <c r="J208" s="45"/>
      <c r="K208" s="4">
        <v>295</v>
      </c>
      <c r="L208" s="4">
        <v>305</v>
      </c>
      <c r="N208" s="4">
        <v>320</v>
      </c>
      <c r="O208" s="4">
        <v>355</v>
      </c>
    </row>
    <row r="209" spans="1:15" ht="17.100000000000001" customHeight="1" x14ac:dyDescent="0.2">
      <c r="A209" s="47"/>
      <c r="B209" s="2"/>
      <c r="C209" s="2"/>
      <c r="D209" s="48"/>
      <c r="E209" s="48"/>
      <c r="F209" s="49"/>
      <c r="G209" s="3"/>
      <c r="H209" s="3"/>
      <c r="I209" s="50"/>
      <c r="J209" s="51"/>
      <c r="K209" s="4">
        <v>160</v>
      </c>
      <c r="L209" s="4">
        <v>165</v>
      </c>
      <c r="N209" s="4">
        <v>2</v>
      </c>
      <c r="O209" s="4">
        <v>4</v>
      </c>
    </row>
    <row r="210" spans="1:15" ht="17.100000000000001" customHeight="1" x14ac:dyDescent="0.2">
      <c r="A210" s="47"/>
      <c r="B210" s="2"/>
      <c r="C210" s="2"/>
      <c r="D210" s="48"/>
      <c r="E210" s="2"/>
      <c r="F210" s="2"/>
      <c r="G210" s="3"/>
      <c r="H210" s="3"/>
      <c r="I210" s="50"/>
      <c r="J210" s="51"/>
      <c r="K210" s="4">
        <v>88.75</v>
      </c>
      <c r="L210" s="4">
        <v>91.25</v>
      </c>
      <c r="N210" s="4">
        <f>N208/N209</f>
        <v>160</v>
      </c>
      <c r="O210" s="4">
        <f>O208/O209</f>
        <v>88.75</v>
      </c>
    </row>
    <row r="211" spans="1:15" ht="17.100000000000001" customHeight="1" x14ac:dyDescent="0.2">
      <c r="A211" s="47"/>
      <c r="C211" s="52"/>
      <c r="D211" s="52"/>
      <c r="E211" s="52"/>
      <c r="G211" s="3"/>
      <c r="H211" s="3"/>
      <c r="I211" s="50">
        <v>120000000</v>
      </c>
      <c r="J211" s="51"/>
    </row>
    <row r="212" spans="1:15" ht="17.100000000000001" customHeight="1" x14ac:dyDescent="0.2">
      <c r="A212" s="47"/>
      <c r="C212" s="52"/>
      <c r="D212" s="52"/>
      <c r="E212" s="52"/>
      <c r="G212" s="3"/>
      <c r="H212" s="3"/>
      <c r="I212" s="50">
        <f>Table43[[#Totals],[AMOUNT]]-I211</f>
        <v>-120000000</v>
      </c>
      <c r="J212" s="51" t="s">
        <v>16</v>
      </c>
    </row>
    <row r="213" spans="1:15" ht="17.100000000000001" customHeight="1" x14ac:dyDescent="0.2">
      <c r="A213" s="47"/>
      <c r="B213" s="53" t="s">
        <v>17</v>
      </c>
      <c r="C213" s="41"/>
      <c r="D213" s="53"/>
      <c r="E213" s="53"/>
      <c r="F213" s="53" t="s">
        <v>18</v>
      </c>
      <c r="G213" s="3"/>
      <c r="H213" s="3"/>
      <c r="I213" s="54" t="s">
        <v>19</v>
      </c>
      <c r="J213" s="51"/>
    </row>
    <row r="214" spans="1:15" ht="17.100000000000001" customHeight="1" x14ac:dyDescent="0.2">
      <c r="A214" s="47"/>
      <c r="B214" s="53"/>
      <c r="C214" s="53"/>
      <c r="D214" s="42"/>
      <c r="E214" s="41"/>
      <c r="F214" s="53"/>
      <c r="G214" s="3"/>
      <c r="H214" s="3"/>
      <c r="I214" s="14"/>
      <c r="J214" s="51"/>
    </row>
    <row r="215" spans="1:15" ht="17.100000000000001" customHeight="1" x14ac:dyDescent="0.2">
      <c r="A215" s="47"/>
      <c r="B215" s="53" t="s">
        <v>20</v>
      </c>
      <c r="C215" s="41"/>
      <c r="D215" s="42"/>
      <c r="E215" s="41"/>
      <c r="F215" s="4" t="s">
        <v>66</v>
      </c>
      <c r="G215" s="3"/>
      <c r="H215" s="3"/>
      <c r="I215" s="14" t="s">
        <v>67</v>
      </c>
      <c r="J215" s="55"/>
    </row>
    <row r="216" spans="1:15" ht="17.100000000000001" customHeight="1" x14ac:dyDescent="0.2">
      <c r="A216" s="5"/>
      <c r="B216" s="2"/>
      <c r="C216" s="2"/>
      <c r="D216" s="2"/>
      <c r="E216" s="2"/>
      <c r="F216" s="2"/>
      <c r="G216" s="2"/>
      <c r="H216" s="3"/>
      <c r="I216" s="50"/>
      <c r="J216" s="55"/>
    </row>
    <row r="217" spans="1:15" ht="17.100000000000001" customHeight="1" x14ac:dyDescent="0.2">
      <c r="A217" s="47"/>
      <c r="B217" s="2"/>
      <c r="C217" s="48"/>
      <c r="D217" s="48"/>
      <c r="E217" s="48"/>
      <c r="F217" s="2"/>
      <c r="G217" s="3"/>
      <c r="H217" s="3"/>
      <c r="I217" s="50"/>
      <c r="J217" s="55"/>
    </row>
    <row r="218" spans="1:15" ht="17.100000000000001" customHeight="1" x14ac:dyDescent="0.2">
      <c r="A218" s="47"/>
      <c r="B218" s="2"/>
      <c r="C218" s="48"/>
      <c r="D218" s="48"/>
      <c r="E218" s="48"/>
      <c r="F218" s="2"/>
      <c r="G218" s="3"/>
      <c r="H218" s="3"/>
      <c r="I218" s="50"/>
      <c r="J218" s="55"/>
    </row>
    <row r="219" spans="1:15" ht="17.100000000000001" customHeight="1" x14ac:dyDescent="0.2">
      <c r="A219" s="47"/>
      <c r="B219" s="2"/>
      <c r="C219" s="48"/>
      <c r="D219" s="48"/>
      <c r="E219" s="48"/>
      <c r="F219" s="2"/>
      <c r="G219" s="3"/>
      <c r="H219" s="3"/>
      <c r="I219" s="50"/>
      <c r="J219" s="55"/>
    </row>
    <row r="222" spans="1:15" ht="17.100000000000001" customHeight="1" x14ac:dyDescent="0.2">
      <c r="I222" s="56"/>
    </row>
    <row r="228" spans="16:16" ht="17.100000000000001" customHeight="1" x14ac:dyDescent="0.2">
      <c r="P228" s="46"/>
    </row>
    <row r="229" spans="16:16" ht="17.100000000000001" customHeight="1" x14ac:dyDescent="0.2">
      <c r="P229" s="46"/>
    </row>
    <row r="230" spans="16:16" ht="17.100000000000001" customHeight="1" x14ac:dyDescent="0.2">
      <c r="P230" s="46"/>
    </row>
    <row r="231" spans="16:16" ht="17.100000000000001" customHeight="1" x14ac:dyDescent="0.2">
      <c r="P231" s="46"/>
    </row>
    <row r="232" spans="16:16" ht="17.100000000000001" customHeight="1" x14ac:dyDescent="0.2">
      <c r="P232" s="46"/>
    </row>
    <row r="233" spans="16:16" ht="17.100000000000001" customHeight="1" x14ac:dyDescent="0.2">
      <c r="P233" s="46"/>
    </row>
    <row r="234" spans="16:16" ht="17.100000000000001" customHeight="1" x14ac:dyDescent="0.2">
      <c r="P234" s="46"/>
    </row>
  </sheetData>
  <phoneticPr fontId="20" type="noConversion"/>
  <printOptions horizontalCentered="1" gridLines="1"/>
  <pageMargins left="0.12" right="0.12" top="0.75" bottom="0.26" header="0.3" footer="0.15"/>
  <pageSetup scale="20" orientation="portrait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5B27-FDAC-4AD1-B980-94BF0936E82B}">
  <sheetPr codeName="Sheet2">
    <pageSetUpPr fitToPage="1"/>
  </sheetPr>
  <dimension ref="A1:S46"/>
  <sheetViews>
    <sheetView zoomScale="85" zoomScaleNormal="85" workbookViewId="0">
      <selection activeCell="H16" sqref="H16:H17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3.140625" style="26" customWidth="1"/>
    <col min="4" max="4" width="13" style="29" customWidth="1"/>
    <col min="5" max="6" width="9.140625" style="29" customWidth="1"/>
    <col min="7" max="7" width="58.28515625" style="26" customWidth="1"/>
    <col min="8" max="8" width="14.28515625" style="58" customWidth="1"/>
    <col min="9" max="9" width="9.140625" style="58" customWidth="1"/>
    <col min="10" max="10" width="16.7109375" style="57" bestFit="1" customWidth="1"/>
    <col min="11" max="11" width="17" style="57" bestFit="1" customWidth="1"/>
    <col min="12" max="12" width="9.140625" style="26"/>
    <col min="13" max="14" width="14.42578125" style="26" bestFit="1" customWidth="1"/>
    <col min="15" max="15" width="15.5703125" style="26" bestFit="1" customWidth="1"/>
    <col min="16" max="16" width="17.5703125" style="26" bestFit="1" customWidth="1"/>
    <col min="17" max="17" width="16" style="26" bestFit="1" customWidth="1"/>
    <col min="18" max="18" width="12.85546875" style="26" bestFit="1" customWidth="1"/>
    <col min="19" max="19" width="16" style="26" bestFit="1" customWidth="1"/>
    <col min="20" max="16384" width="9.140625" style="26"/>
  </cols>
  <sheetData>
    <row r="1" spans="2:19" ht="20.100000000000001" customHeight="1" x14ac:dyDescent="0.2">
      <c r="B1" s="84" t="s">
        <v>24</v>
      </c>
    </row>
    <row r="2" spans="2:19" ht="20.100000000000001" customHeight="1" x14ac:dyDescent="0.2">
      <c r="B2" s="84" t="s">
        <v>1</v>
      </c>
    </row>
    <row r="3" spans="2:19" ht="20.100000000000001" customHeight="1" x14ac:dyDescent="0.2">
      <c r="B3" s="84" t="s">
        <v>165</v>
      </c>
    </row>
    <row r="5" spans="2:19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  <c r="M5" s="176" t="s">
        <v>170</v>
      </c>
      <c r="N5" s="26"/>
      <c r="O5" s="26"/>
      <c r="P5" s="26"/>
      <c r="Q5" s="26"/>
      <c r="R5" s="26"/>
      <c r="S5" s="26"/>
    </row>
    <row r="6" spans="2:19" ht="20.100000000000001" customHeight="1" x14ac:dyDescent="0.2">
      <c r="B6" s="60"/>
      <c r="K6" s="61"/>
      <c r="M6" s="29"/>
      <c r="N6" s="29"/>
      <c r="O6" s="29"/>
      <c r="P6" s="29"/>
      <c r="Q6" s="29"/>
      <c r="R6" s="29"/>
      <c r="S6" s="29"/>
    </row>
    <row r="7" spans="2:19" ht="20.100000000000001" customHeight="1" x14ac:dyDescent="0.2">
      <c r="B7" s="69">
        <v>46036</v>
      </c>
      <c r="C7" s="70" t="s">
        <v>72</v>
      </c>
      <c r="D7" s="71" t="s">
        <v>166</v>
      </c>
      <c r="E7" s="71">
        <v>100</v>
      </c>
      <c r="F7" s="71" t="s">
        <v>12</v>
      </c>
      <c r="G7" s="70" t="s">
        <v>121</v>
      </c>
      <c r="H7" s="72">
        <v>84</v>
      </c>
      <c r="I7" s="72">
        <v>50</v>
      </c>
      <c r="J7" s="138">
        <f t="shared" ref="J7" si="0">E7*H7*I7</f>
        <v>420000</v>
      </c>
      <c r="K7" s="173">
        <f>J7</f>
        <v>420000</v>
      </c>
      <c r="M7" s="67" t="s">
        <v>2</v>
      </c>
      <c r="N7" s="67" t="s">
        <v>136</v>
      </c>
      <c r="O7" s="67" t="s">
        <v>137</v>
      </c>
      <c r="P7" s="67" t="s">
        <v>138</v>
      </c>
      <c r="Q7" s="67"/>
      <c r="R7" s="67" t="s">
        <v>139</v>
      </c>
      <c r="S7" s="67" t="s">
        <v>140</v>
      </c>
    </row>
    <row r="8" spans="2:19" ht="20.100000000000001" customHeight="1" x14ac:dyDescent="0.2">
      <c r="B8" s="60"/>
      <c r="J8" s="96"/>
      <c r="K8" s="155"/>
      <c r="M8" s="69">
        <v>46037</v>
      </c>
      <c r="N8" s="71">
        <v>14407</v>
      </c>
      <c r="O8" s="73"/>
      <c r="P8" s="73">
        <v>629040</v>
      </c>
      <c r="Q8" s="73">
        <f>P8/1.12</f>
        <v>561642.85714285704</v>
      </c>
      <c r="R8" s="73">
        <f>Q8*0.01</f>
        <v>5616.4285714285706</v>
      </c>
      <c r="S8" s="73">
        <f>P8-R8</f>
        <v>623423.57142857148</v>
      </c>
    </row>
    <row r="9" spans="2:19" ht="20.100000000000001" customHeight="1" x14ac:dyDescent="0.2">
      <c r="B9" s="69">
        <v>46037</v>
      </c>
      <c r="C9" s="70" t="s">
        <v>13</v>
      </c>
      <c r="D9" s="71" t="s">
        <v>167</v>
      </c>
      <c r="E9" s="71">
        <v>100</v>
      </c>
      <c r="F9" s="71" t="s">
        <v>12</v>
      </c>
      <c r="G9" s="70" t="s">
        <v>98</v>
      </c>
      <c r="H9" s="72">
        <v>210</v>
      </c>
      <c r="I9" s="72">
        <v>12</v>
      </c>
      <c r="J9" s="138">
        <f t="shared" ref="J9:J12" si="1">E9*H9*I9</f>
        <v>252000</v>
      </c>
      <c r="K9" s="140"/>
      <c r="M9" s="71"/>
      <c r="N9" s="71"/>
      <c r="O9" s="73"/>
      <c r="P9" s="73"/>
      <c r="Q9" s="70"/>
      <c r="R9" s="70"/>
      <c r="S9" s="70"/>
    </row>
    <row r="10" spans="2:19" ht="20.100000000000001" customHeight="1" x14ac:dyDescent="0.2">
      <c r="B10" s="60"/>
      <c r="D10" s="136"/>
      <c r="E10" s="71">
        <v>100</v>
      </c>
      <c r="F10" s="71" t="s">
        <v>12</v>
      </c>
      <c r="G10" s="70" t="s">
        <v>79</v>
      </c>
      <c r="H10" s="72">
        <v>187</v>
      </c>
      <c r="I10" s="72">
        <v>12</v>
      </c>
      <c r="J10" s="138">
        <f t="shared" si="1"/>
        <v>224400</v>
      </c>
      <c r="K10" s="140"/>
      <c r="M10" s="69">
        <v>46049</v>
      </c>
      <c r="N10" s="71">
        <v>14437</v>
      </c>
      <c r="O10" s="73"/>
      <c r="P10" s="73">
        <v>1970775</v>
      </c>
      <c r="Q10" s="73">
        <f>P10/1.12</f>
        <v>1759620.5357142854</v>
      </c>
      <c r="R10" s="73">
        <f>Q10*0.01</f>
        <v>17596.205357142855</v>
      </c>
      <c r="S10" s="73">
        <f>P10-R10</f>
        <v>1953178.794642857</v>
      </c>
    </row>
    <row r="11" spans="2:19" ht="20.100000000000001" customHeight="1" x14ac:dyDescent="0.2">
      <c r="B11" s="60"/>
      <c r="D11" s="136"/>
      <c r="E11" s="71">
        <v>26</v>
      </c>
      <c r="F11" s="71" t="s">
        <v>12</v>
      </c>
      <c r="G11" s="70" t="s">
        <v>118</v>
      </c>
      <c r="H11" s="72">
        <v>106</v>
      </c>
      <c r="I11" s="72">
        <v>24</v>
      </c>
      <c r="J11" s="138">
        <f t="shared" si="1"/>
        <v>66144</v>
      </c>
      <c r="K11" s="175"/>
      <c r="M11" s="71"/>
      <c r="N11" s="71"/>
      <c r="O11" s="73"/>
      <c r="P11" s="73"/>
      <c r="Q11" s="70"/>
      <c r="R11" s="70"/>
      <c r="S11" s="70"/>
    </row>
    <row r="12" spans="2:19" ht="20.100000000000001" customHeight="1" x14ac:dyDescent="0.2">
      <c r="B12" s="63"/>
      <c r="C12" s="64"/>
      <c r="D12" s="99"/>
      <c r="E12" s="71">
        <v>34</v>
      </c>
      <c r="F12" s="71" t="s">
        <v>12</v>
      </c>
      <c r="G12" s="70" t="s">
        <v>118</v>
      </c>
      <c r="H12" s="72">
        <v>106</v>
      </c>
      <c r="I12" s="72">
        <v>24</v>
      </c>
      <c r="J12" s="138">
        <f t="shared" si="1"/>
        <v>86496</v>
      </c>
      <c r="K12" s="146">
        <f>SUM(J9:J12)</f>
        <v>629040</v>
      </c>
      <c r="M12" s="198" t="s">
        <v>141</v>
      </c>
      <c r="N12" s="199"/>
      <c r="O12" s="200"/>
      <c r="P12" s="74">
        <f>SUM(P8:P11)</f>
        <v>2599815</v>
      </c>
      <c r="Q12" s="74">
        <f>SUM(Q8:Q11)</f>
        <v>2321263.3928571427</v>
      </c>
      <c r="R12" s="74">
        <f>SUM(R8:R11)</f>
        <v>23212.633928571428</v>
      </c>
      <c r="S12" s="74">
        <f>SUM(S8:S11)</f>
        <v>2576602.3660714286</v>
      </c>
    </row>
    <row r="13" spans="2:19" ht="20.100000000000001" customHeight="1" x14ac:dyDescent="0.2">
      <c r="B13" s="60"/>
      <c r="K13" s="183"/>
    </row>
    <row r="14" spans="2:19" ht="20.100000000000001" customHeight="1" x14ac:dyDescent="0.2">
      <c r="B14" s="69">
        <v>46049</v>
      </c>
      <c r="C14" s="70" t="s">
        <v>13</v>
      </c>
      <c r="D14" s="71" t="s">
        <v>169</v>
      </c>
      <c r="E14" s="71">
        <v>100</v>
      </c>
      <c r="F14" s="71" t="s">
        <v>12</v>
      </c>
      <c r="G14" s="70" t="s">
        <v>73</v>
      </c>
      <c r="H14" s="72">
        <v>825</v>
      </c>
      <c r="I14" s="72">
        <v>10</v>
      </c>
      <c r="J14" s="73">
        <f t="shared" ref="J14:J19" si="2">E14*H14*I14</f>
        <v>825000</v>
      </c>
      <c r="K14" s="175"/>
      <c r="O14" s="29" t="s">
        <v>143</v>
      </c>
      <c r="P14" s="57">
        <f>P12</f>
        <v>2599815</v>
      </c>
    </row>
    <row r="15" spans="2:19" ht="20.100000000000001" customHeight="1" x14ac:dyDescent="0.2">
      <c r="B15" s="60"/>
      <c r="E15" s="71">
        <v>100</v>
      </c>
      <c r="F15" s="71" t="s">
        <v>12</v>
      </c>
      <c r="G15" s="147" t="s">
        <v>120</v>
      </c>
      <c r="H15" s="72">
        <v>158.5</v>
      </c>
      <c r="I15" s="72">
        <v>12</v>
      </c>
      <c r="J15" s="73">
        <f t="shared" si="2"/>
        <v>190200</v>
      </c>
      <c r="K15" s="175"/>
      <c r="O15" s="29" t="s">
        <v>144</v>
      </c>
      <c r="P15" s="57">
        <f>K12+K19+K39</f>
        <v>4602615</v>
      </c>
    </row>
    <row r="16" spans="2:19" ht="20.100000000000001" customHeight="1" thickBot="1" x14ac:dyDescent="0.25">
      <c r="B16" s="60"/>
      <c r="E16" s="71">
        <v>50</v>
      </c>
      <c r="F16" s="71" t="s">
        <v>12</v>
      </c>
      <c r="G16" s="70" t="s">
        <v>32</v>
      </c>
      <c r="H16" s="72">
        <v>240</v>
      </c>
      <c r="I16" s="72">
        <v>24</v>
      </c>
      <c r="J16" s="73">
        <f t="shared" si="2"/>
        <v>288000</v>
      </c>
      <c r="K16" s="175"/>
      <c r="P16" s="180">
        <f>P14/P15</f>
        <v>0.56485606551927547</v>
      </c>
    </row>
    <row r="17" spans="2:17" ht="20.100000000000001" customHeight="1" thickTop="1" x14ac:dyDescent="0.2">
      <c r="B17" s="60"/>
      <c r="E17" s="71">
        <v>30</v>
      </c>
      <c r="F17" s="71" t="s">
        <v>12</v>
      </c>
      <c r="G17" s="70" t="s">
        <v>36</v>
      </c>
      <c r="H17" s="72">
        <v>128.75</v>
      </c>
      <c r="I17" s="72">
        <v>36</v>
      </c>
      <c r="J17" s="73">
        <f t="shared" si="2"/>
        <v>139050</v>
      </c>
      <c r="K17" s="175"/>
      <c r="M17" s="57"/>
      <c r="O17" s="57"/>
      <c r="P17" s="57"/>
    </row>
    <row r="18" spans="2:17" ht="20.100000000000001" customHeight="1" x14ac:dyDescent="0.2">
      <c r="B18" s="60"/>
      <c r="E18" s="71">
        <v>30</v>
      </c>
      <c r="F18" s="71" t="s">
        <v>12</v>
      </c>
      <c r="G18" s="70" t="s">
        <v>129</v>
      </c>
      <c r="H18" s="72">
        <v>445</v>
      </c>
      <c r="I18" s="72">
        <v>24</v>
      </c>
      <c r="J18" s="73">
        <f t="shared" si="2"/>
        <v>320400</v>
      </c>
      <c r="K18" s="175"/>
      <c r="M18" s="57"/>
      <c r="O18" s="57"/>
      <c r="P18" s="57"/>
    </row>
    <row r="19" spans="2:17" ht="20.100000000000001" customHeight="1" x14ac:dyDescent="0.2">
      <c r="B19" s="63"/>
      <c r="C19" s="64"/>
      <c r="D19" s="65"/>
      <c r="E19" s="71">
        <v>25</v>
      </c>
      <c r="F19" s="71" t="s">
        <v>12</v>
      </c>
      <c r="G19" s="70" t="s">
        <v>130</v>
      </c>
      <c r="H19" s="72">
        <v>231.25</v>
      </c>
      <c r="I19" s="72">
        <v>36</v>
      </c>
      <c r="J19" s="73">
        <f t="shared" si="2"/>
        <v>208125</v>
      </c>
      <c r="K19" s="146">
        <f>SUM(J14:J19)</f>
        <v>1970775</v>
      </c>
      <c r="M19" s="57"/>
      <c r="O19" s="57"/>
      <c r="P19" s="57"/>
      <c r="Q19" s="57"/>
    </row>
    <row r="20" spans="2:17" ht="20.100000000000001" customHeight="1" x14ac:dyDescent="0.2">
      <c r="B20" s="60"/>
      <c r="K20" s="183"/>
    </row>
    <row r="21" spans="2:17" ht="20.100000000000001" hidden="1" customHeight="1" x14ac:dyDescent="0.2">
      <c r="B21" s="69"/>
      <c r="C21" s="70"/>
      <c r="D21" s="71"/>
      <c r="E21" s="71"/>
      <c r="F21" s="71"/>
      <c r="G21" s="70"/>
      <c r="H21" s="72"/>
      <c r="I21" s="72"/>
      <c r="J21" s="73"/>
      <c r="K21" s="141"/>
    </row>
    <row r="22" spans="2:17" ht="20.100000000000001" hidden="1" customHeight="1" x14ac:dyDescent="0.2">
      <c r="B22" s="60"/>
      <c r="K22" s="155"/>
    </row>
    <row r="23" spans="2:17" ht="20.100000000000001" customHeight="1" thickBot="1" x14ac:dyDescent="0.25">
      <c r="B23" s="79"/>
      <c r="C23" s="80"/>
      <c r="D23" s="81"/>
      <c r="E23" s="81"/>
      <c r="F23" s="81"/>
      <c r="G23" s="80"/>
      <c r="H23" s="82"/>
      <c r="I23" s="83" t="s">
        <v>28</v>
      </c>
      <c r="J23" s="90">
        <f>SUM(J7:J21)</f>
        <v>3019815</v>
      </c>
      <c r="K23" s="141">
        <f>J23-K7-K12-K19-K21</f>
        <v>0</v>
      </c>
      <c r="O23" s="57"/>
    </row>
    <row r="24" spans="2:17" ht="20.100000000000001" customHeight="1" thickTop="1" x14ac:dyDescent="0.2">
      <c r="K24" s="96"/>
      <c r="O24" s="57"/>
    </row>
    <row r="25" spans="2:17" ht="20.100000000000001" hidden="1" customHeight="1" x14ac:dyDescent="0.2">
      <c r="K25" s="96"/>
    </row>
    <row r="26" spans="2:17" ht="20.100000000000001" hidden="1" customHeight="1" x14ac:dyDescent="0.2">
      <c r="B26" s="59" t="s">
        <v>25</v>
      </c>
      <c r="F26" s="28" t="s">
        <v>26</v>
      </c>
      <c r="K26" s="96"/>
    </row>
    <row r="27" spans="2:17" ht="20.100000000000001" hidden="1" customHeight="1" x14ac:dyDescent="0.2">
      <c r="C27" s="26" t="s">
        <v>27</v>
      </c>
      <c r="G27" s="26" t="s">
        <v>35</v>
      </c>
      <c r="K27" s="96"/>
    </row>
    <row r="28" spans="2:17" ht="20.100000000000001" hidden="1" customHeight="1" x14ac:dyDescent="0.2">
      <c r="K28" s="96"/>
    </row>
    <row r="29" spans="2:17" ht="20.100000000000001" hidden="1" customHeight="1" x14ac:dyDescent="0.2">
      <c r="K29" s="96"/>
    </row>
    <row r="30" spans="2:17" ht="20.100000000000001" hidden="1" customHeight="1" x14ac:dyDescent="0.2">
      <c r="K30" s="96"/>
    </row>
    <row r="31" spans="2:17" ht="20.100000000000001" hidden="1" customHeight="1" x14ac:dyDescent="0.2">
      <c r="K31" s="96"/>
    </row>
    <row r="32" spans="2:17" ht="20.100000000000001" hidden="1" customHeight="1" x14ac:dyDescent="0.2">
      <c r="B32" s="84" t="s">
        <v>23</v>
      </c>
      <c r="K32" s="96"/>
    </row>
    <row r="33" spans="1:17" ht="20.100000000000001" hidden="1" customHeight="1" x14ac:dyDescent="0.2">
      <c r="B33" s="84" t="s">
        <v>1</v>
      </c>
      <c r="K33" s="96"/>
    </row>
    <row r="34" spans="1:17" ht="20.100000000000001" hidden="1" customHeight="1" x14ac:dyDescent="0.2">
      <c r="B34" s="84" t="s">
        <v>116</v>
      </c>
      <c r="K34" s="96"/>
    </row>
    <row r="35" spans="1:17" ht="20.100000000000001" customHeight="1" x14ac:dyDescent="0.2">
      <c r="K35" s="96"/>
    </row>
    <row r="36" spans="1:17" ht="20.100000000000001" customHeight="1" x14ac:dyDescent="0.2">
      <c r="B36" s="66" t="s">
        <v>2</v>
      </c>
      <c r="C36" s="67" t="s">
        <v>3</v>
      </c>
      <c r="D36" s="67" t="s">
        <v>4</v>
      </c>
      <c r="E36" s="67" t="s">
        <v>21</v>
      </c>
      <c r="F36" s="67" t="s">
        <v>6</v>
      </c>
      <c r="G36" s="67" t="s">
        <v>7</v>
      </c>
      <c r="H36" s="68" t="s">
        <v>8</v>
      </c>
      <c r="I36" s="68" t="s">
        <v>9</v>
      </c>
      <c r="J36" s="68" t="s">
        <v>10</v>
      </c>
      <c r="K36" s="156" t="s">
        <v>22</v>
      </c>
    </row>
    <row r="37" spans="1:17" ht="18.75" customHeight="1" x14ac:dyDescent="0.2">
      <c r="A37" s="29"/>
      <c r="B37" s="60"/>
      <c r="K37" s="155"/>
    </row>
    <row r="38" spans="1:17" ht="18.75" customHeight="1" x14ac:dyDescent="0.2">
      <c r="A38" s="29"/>
      <c r="B38" s="69">
        <v>46037</v>
      </c>
      <c r="C38" s="70" t="s">
        <v>13</v>
      </c>
      <c r="D38" s="71" t="s">
        <v>168</v>
      </c>
      <c r="E38" s="71">
        <v>200</v>
      </c>
      <c r="F38" s="71" t="s">
        <v>12</v>
      </c>
      <c r="G38" s="70" t="s">
        <v>131</v>
      </c>
      <c r="H38" s="72">
        <v>349</v>
      </c>
      <c r="I38" s="72">
        <v>24</v>
      </c>
      <c r="J38" s="95">
        <f t="shared" ref="J38" si="3">E38*H38*I38</f>
        <v>1675200</v>
      </c>
      <c r="K38" s="143"/>
      <c r="O38" s="137"/>
    </row>
    <row r="39" spans="1:17" ht="20.100000000000001" customHeight="1" x14ac:dyDescent="0.2">
      <c r="A39" s="29"/>
      <c r="B39" s="69"/>
      <c r="C39" s="70"/>
      <c r="D39" s="71"/>
      <c r="E39" s="71">
        <v>100</v>
      </c>
      <c r="F39" s="71" t="s">
        <v>12</v>
      </c>
      <c r="G39" s="70" t="s">
        <v>117</v>
      </c>
      <c r="H39" s="72">
        <v>273</v>
      </c>
      <c r="I39" s="72">
        <v>12</v>
      </c>
      <c r="J39" s="95">
        <f t="shared" ref="J39" si="4">E39*H39*I39</f>
        <v>327600</v>
      </c>
      <c r="K39" s="143">
        <f>SUM(J38:J39)</f>
        <v>2002800</v>
      </c>
      <c r="M39" s="57"/>
      <c r="N39" s="57"/>
      <c r="O39" s="57"/>
      <c r="P39" s="57"/>
      <c r="Q39" s="57"/>
    </row>
    <row r="40" spans="1:17" ht="20.100000000000001" customHeight="1" x14ac:dyDescent="0.2">
      <c r="B40" s="60"/>
      <c r="K40" s="155"/>
    </row>
    <row r="41" spans="1:17" ht="20.100000000000001" customHeight="1" thickBot="1" x14ac:dyDescent="0.25">
      <c r="B41" s="79"/>
      <c r="C41" s="80"/>
      <c r="D41" s="81"/>
      <c r="E41" s="81"/>
      <c r="F41" s="81"/>
      <c r="G41" s="80"/>
      <c r="H41" s="82"/>
      <c r="I41" s="83" t="s">
        <v>29</v>
      </c>
      <c r="J41" s="90">
        <f>SUM(J37:J40)</f>
        <v>2002800</v>
      </c>
      <c r="K41" s="78">
        <f>J41-K39</f>
        <v>0</v>
      </c>
      <c r="N41" s="57"/>
    </row>
    <row r="42" spans="1:17" ht="20.100000000000001" customHeight="1" thickTop="1" x14ac:dyDescent="0.2">
      <c r="J42" s="57">
        <f>K7+K12+K19+K39</f>
        <v>5022615</v>
      </c>
      <c r="M42" s="57"/>
      <c r="N42" s="57"/>
      <c r="P42" s="57"/>
      <c r="Q42" s="57"/>
    </row>
    <row r="43" spans="1:17" ht="20.100000000000001" customHeight="1" x14ac:dyDescent="0.2">
      <c r="J43" s="57">
        <f>J42/1.12</f>
        <v>4484477.6785714282</v>
      </c>
    </row>
    <row r="44" spans="1:17" ht="20.100000000000001" customHeight="1" x14ac:dyDescent="0.2">
      <c r="J44" s="57">
        <f>J43*0.01</f>
        <v>44844.776785714283</v>
      </c>
    </row>
    <row r="45" spans="1:17" ht="20.100000000000001" customHeight="1" x14ac:dyDescent="0.2">
      <c r="B45" s="59" t="s">
        <v>25</v>
      </c>
      <c r="F45" s="28" t="s">
        <v>26</v>
      </c>
    </row>
    <row r="46" spans="1:17" ht="20.100000000000001" customHeight="1" x14ac:dyDescent="0.2">
      <c r="C46" s="26" t="s">
        <v>27</v>
      </c>
      <c r="G46" s="26" t="s">
        <v>35</v>
      </c>
    </row>
  </sheetData>
  <mergeCells count="1">
    <mergeCell ref="M12:O12"/>
  </mergeCells>
  <printOptions gridLines="1"/>
  <pageMargins left="0.7" right="0.7" top="0.75" bottom="0.75" header="0.3" footer="0.3"/>
  <pageSetup scale="51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F21F-22A3-499F-820A-27C3BCE3168F}">
  <sheetPr codeName="Sheet3">
    <pageSetUpPr fitToPage="1"/>
  </sheetPr>
  <dimension ref="A1:AD50"/>
  <sheetViews>
    <sheetView topLeftCell="A4" zoomScaleNormal="100" workbookViewId="0">
      <selection activeCell="G16" sqref="G16:H16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4.42578125" style="26" customWidth="1"/>
    <col min="4" max="4" width="13" style="29" customWidth="1"/>
    <col min="5" max="6" width="9.140625" style="29"/>
    <col min="7" max="7" width="64.42578125" style="26" customWidth="1"/>
    <col min="8" max="8" width="14.28515625" style="58" bestFit="1" customWidth="1"/>
    <col min="9" max="9" width="9.140625" style="58"/>
    <col min="10" max="10" width="18.140625" style="57" bestFit="1" customWidth="1"/>
    <col min="11" max="11" width="18.7109375" style="57" bestFit="1" customWidth="1"/>
    <col min="12" max="12" width="0" style="26" hidden="1" customWidth="1"/>
    <col min="13" max="13" width="15.28515625" style="26" hidden="1" customWidth="1"/>
    <col min="14" max="14" width="12.85546875" style="26" hidden="1" customWidth="1"/>
    <col min="15" max="15" width="15.5703125" style="26" hidden="1" customWidth="1"/>
    <col min="16" max="16" width="0" style="26" hidden="1" customWidth="1"/>
    <col min="17" max="17" width="12.85546875" style="26" hidden="1" customWidth="1"/>
    <col min="18" max="18" width="15.7109375" style="26" hidden="1" customWidth="1"/>
    <col min="19" max="19" width="11.7109375" style="26" hidden="1" customWidth="1"/>
    <col min="20" max="20" width="9.140625" style="26"/>
    <col min="21" max="21" width="13.28515625" style="26" bestFit="1" customWidth="1"/>
    <col min="22" max="22" width="18" style="26" customWidth="1"/>
    <col min="23" max="23" width="14.42578125" style="26" bestFit="1" customWidth="1"/>
    <col min="24" max="24" width="13.85546875" style="26" customWidth="1"/>
    <col min="25" max="25" width="17.5703125" style="26" bestFit="1" customWidth="1"/>
    <col min="26" max="26" width="16" style="26" bestFit="1" customWidth="1"/>
    <col min="27" max="27" width="12.85546875" style="26" bestFit="1" customWidth="1"/>
    <col min="28" max="28" width="16" style="26" bestFit="1" customWidth="1"/>
    <col min="29" max="29" width="12.7109375" style="26" bestFit="1" customWidth="1"/>
    <col min="30" max="30" width="14.42578125" style="26" bestFit="1" customWidth="1"/>
    <col min="31" max="16384" width="9.140625" style="26"/>
  </cols>
  <sheetData>
    <row r="1" spans="2:28" ht="20.100000000000001" customHeight="1" x14ac:dyDescent="0.2">
      <c r="B1" s="84" t="s">
        <v>24</v>
      </c>
    </row>
    <row r="2" spans="2:28" ht="20.100000000000001" customHeight="1" x14ac:dyDescent="0.2">
      <c r="B2" s="84" t="s">
        <v>1</v>
      </c>
    </row>
    <row r="3" spans="2:28" ht="20.100000000000001" customHeight="1" x14ac:dyDescent="0.2">
      <c r="B3" s="84" t="s">
        <v>172</v>
      </c>
    </row>
    <row r="5" spans="2:28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  <c r="V5" s="176" t="s">
        <v>186</v>
      </c>
      <c r="W5" s="26"/>
      <c r="X5" s="26"/>
      <c r="Y5" s="26"/>
      <c r="Z5" s="26"/>
      <c r="AA5" s="26"/>
      <c r="AB5" s="26"/>
    </row>
    <row r="6" spans="2:28" ht="20.100000000000001" customHeight="1" x14ac:dyDescent="0.2">
      <c r="B6" s="60"/>
      <c r="K6" s="61"/>
      <c r="V6" s="29"/>
      <c r="W6" s="29"/>
      <c r="X6" s="29"/>
      <c r="Y6" s="29"/>
      <c r="Z6" s="29"/>
      <c r="AA6" s="29"/>
      <c r="AB6" s="29"/>
    </row>
    <row r="7" spans="2:28" ht="20.100000000000001" customHeight="1" x14ac:dyDescent="0.2">
      <c r="B7" s="79">
        <v>46059</v>
      </c>
      <c r="C7" s="80" t="s">
        <v>13</v>
      </c>
      <c r="D7" s="157" t="s">
        <v>173</v>
      </c>
      <c r="E7" s="71">
        <v>250</v>
      </c>
      <c r="F7" s="71" t="s">
        <v>12</v>
      </c>
      <c r="G7" s="70" t="s">
        <v>132</v>
      </c>
      <c r="H7" s="72">
        <v>375</v>
      </c>
      <c r="I7" s="72">
        <v>6</v>
      </c>
      <c r="J7" s="73">
        <f t="shared" ref="J7" si="0">I7*H7*E7</f>
        <v>562500</v>
      </c>
      <c r="K7" s="77">
        <f>J7</f>
        <v>562500</v>
      </c>
      <c r="T7" s="26">
        <v>1</v>
      </c>
      <c r="U7" s="145"/>
      <c r="V7" s="67" t="s">
        <v>2</v>
      </c>
      <c r="W7" s="67" t="s">
        <v>136</v>
      </c>
      <c r="X7" s="67" t="s">
        <v>137</v>
      </c>
      <c r="Y7" s="67" t="s">
        <v>138</v>
      </c>
      <c r="Z7" s="67"/>
      <c r="AA7" s="67" t="s">
        <v>139</v>
      </c>
      <c r="AB7" s="67" t="s">
        <v>140</v>
      </c>
    </row>
    <row r="8" spans="2:28" ht="20.100000000000001" customHeight="1" x14ac:dyDescent="0.2">
      <c r="B8" s="79"/>
      <c r="C8" s="80"/>
      <c r="D8" s="81"/>
      <c r="E8" s="81"/>
      <c r="F8" s="81"/>
      <c r="G8" s="80"/>
      <c r="H8" s="82"/>
      <c r="I8" s="82"/>
      <c r="J8" s="164"/>
      <c r="K8" s="141"/>
      <c r="O8" s="57" t="e">
        <f>#REF!*0.12</f>
        <v>#REF!</v>
      </c>
      <c r="V8" s="69">
        <v>46080</v>
      </c>
      <c r="W8" s="71">
        <v>14509</v>
      </c>
      <c r="X8" s="73"/>
      <c r="Y8" s="73">
        <v>1923750</v>
      </c>
      <c r="Z8" s="73">
        <f>Y8/1.12</f>
        <v>1717633.9285714284</v>
      </c>
      <c r="AA8" s="73">
        <f>Z8*0.01</f>
        <v>17176.339285714283</v>
      </c>
      <c r="AB8" s="73">
        <f>Y8-AA8</f>
        <v>1906573.6607142857</v>
      </c>
    </row>
    <row r="9" spans="2:28" ht="20.100000000000001" customHeight="1" x14ac:dyDescent="0.2">
      <c r="B9" s="69">
        <v>46059</v>
      </c>
      <c r="C9" s="70" t="s">
        <v>13</v>
      </c>
      <c r="D9" s="71" t="s">
        <v>174</v>
      </c>
      <c r="E9" s="71">
        <v>250</v>
      </c>
      <c r="F9" s="71" t="s">
        <v>12</v>
      </c>
      <c r="G9" s="70" t="s">
        <v>132</v>
      </c>
      <c r="H9" s="72">
        <v>375</v>
      </c>
      <c r="I9" s="72">
        <v>6</v>
      </c>
      <c r="J9" s="73">
        <f>I9*H9*E9</f>
        <v>562500</v>
      </c>
      <c r="K9" s="143">
        <f>J9</f>
        <v>562500</v>
      </c>
      <c r="T9" s="26">
        <v>1</v>
      </c>
      <c r="U9" s="145"/>
      <c r="V9" s="71"/>
      <c r="W9" s="71"/>
      <c r="X9" s="73"/>
      <c r="Y9" s="73"/>
      <c r="Z9" s="70"/>
      <c r="AA9" s="70"/>
      <c r="AB9" s="70"/>
    </row>
    <row r="10" spans="2:28" ht="20.100000000000001" customHeight="1" x14ac:dyDescent="0.2">
      <c r="B10" s="79"/>
      <c r="C10" s="80"/>
      <c r="D10" s="81"/>
      <c r="E10" s="81"/>
      <c r="F10" s="81"/>
      <c r="G10" s="80"/>
      <c r="H10" s="82"/>
      <c r="I10" s="82"/>
      <c r="J10" s="164"/>
      <c r="K10" s="141"/>
      <c r="V10" s="198" t="s">
        <v>141</v>
      </c>
      <c r="W10" s="199"/>
      <c r="X10" s="200"/>
      <c r="Y10" s="74">
        <f>SUM(Y8:Y9)</f>
        <v>1923750</v>
      </c>
      <c r="Z10" s="74">
        <f>SUM(Z8:Z9)</f>
        <v>1717633.9285714284</v>
      </c>
      <c r="AA10" s="74">
        <f>SUM(AA8:AA9)</f>
        <v>17176.339285714283</v>
      </c>
      <c r="AB10" s="74">
        <f>SUM(AB8:AB9)</f>
        <v>1906573.6607142857</v>
      </c>
    </row>
    <row r="11" spans="2:28" ht="20.100000000000001" customHeight="1" x14ac:dyDescent="0.2">
      <c r="B11" s="158">
        <v>46062</v>
      </c>
      <c r="C11" s="159" t="s">
        <v>72</v>
      </c>
      <c r="D11" s="160" t="s">
        <v>175</v>
      </c>
      <c r="E11" s="160">
        <v>400</v>
      </c>
      <c r="F11" s="71" t="s">
        <v>12</v>
      </c>
      <c r="G11" s="159" t="s">
        <v>176</v>
      </c>
      <c r="H11" s="163">
        <v>150</v>
      </c>
      <c r="I11" s="163">
        <v>12</v>
      </c>
      <c r="J11" s="184">
        <f>I11*H11*E11</f>
        <v>720000</v>
      </c>
      <c r="K11" s="143">
        <f>J11</f>
        <v>720000</v>
      </c>
      <c r="U11" s="145"/>
    </row>
    <row r="12" spans="2:28" ht="20.100000000000001" customHeight="1" x14ac:dyDescent="0.2">
      <c r="B12" s="60"/>
      <c r="K12" s="142"/>
      <c r="X12" s="29" t="s">
        <v>143</v>
      </c>
      <c r="Y12" s="57">
        <f>Y10</f>
        <v>1923750</v>
      </c>
    </row>
    <row r="13" spans="2:28" ht="20.100000000000001" customHeight="1" x14ac:dyDescent="0.2">
      <c r="B13" s="168">
        <v>46065</v>
      </c>
      <c r="C13" s="89" t="s">
        <v>13</v>
      </c>
      <c r="D13" s="88" t="s">
        <v>177</v>
      </c>
      <c r="E13" s="71">
        <v>25</v>
      </c>
      <c r="F13" s="71" t="s">
        <v>12</v>
      </c>
      <c r="G13" s="70" t="s">
        <v>178</v>
      </c>
      <c r="H13" s="72">
        <v>737.5</v>
      </c>
      <c r="I13" s="72">
        <v>24</v>
      </c>
      <c r="J13" s="73">
        <f>I13*H13*E13</f>
        <v>442500</v>
      </c>
      <c r="K13" s="143"/>
      <c r="X13" s="29" t="s">
        <v>144</v>
      </c>
      <c r="Y13" s="57">
        <f>K7+K9+K14+K17+K21</f>
        <v>4198770</v>
      </c>
    </row>
    <row r="14" spans="2:28" ht="20.100000000000001" customHeight="1" thickBot="1" x14ac:dyDescent="0.25">
      <c r="B14" s="79"/>
      <c r="C14" s="80"/>
      <c r="D14" s="157"/>
      <c r="E14" s="157">
        <v>50</v>
      </c>
      <c r="F14" s="71" t="s">
        <v>12</v>
      </c>
      <c r="G14" s="70" t="s">
        <v>179</v>
      </c>
      <c r="H14" s="72">
        <v>377.5</v>
      </c>
      <c r="I14" s="72">
        <v>36</v>
      </c>
      <c r="J14" s="162">
        <f>I14*H14*E14</f>
        <v>679500</v>
      </c>
      <c r="K14" s="143">
        <f>SUM(J13:J14)</f>
        <v>1122000</v>
      </c>
      <c r="T14" s="26">
        <v>1</v>
      </c>
      <c r="Y14" s="180">
        <f>Y12/Y13</f>
        <v>0.45816989261140761</v>
      </c>
    </row>
    <row r="15" spans="2:28" ht="20.100000000000001" customHeight="1" thickTop="1" x14ac:dyDescent="0.2">
      <c r="B15" s="60"/>
      <c r="K15" s="142"/>
    </row>
    <row r="16" spans="2:28" ht="20.100000000000001" customHeight="1" x14ac:dyDescent="0.2">
      <c r="B16" s="69">
        <v>46069</v>
      </c>
      <c r="C16" s="70" t="s">
        <v>13</v>
      </c>
      <c r="D16" s="71" t="s">
        <v>184</v>
      </c>
      <c r="E16" s="71">
        <v>3</v>
      </c>
      <c r="F16" s="71" t="s">
        <v>12</v>
      </c>
      <c r="G16" s="70" t="s">
        <v>73</v>
      </c>
      <c r="H16" s="72">
        <v>825</v>
      </c>
      <c r="I16" s="72">
        <v>10</v>
      </c>
      <c r="J16" s="73">
        <f>I16*H16*E16</f>
        <v>24750</v>
      </c>
      <c r="K16" s="143"/>
    </row>
    <row r="17" spans="2:23" ht="20.100000000000001" customHeight="1" x14ac:dyDescent="0.2">
      <c r="B17" s="63"/>
      <c r="C17" s="64"/>
      <c r="D17" s="99"/>
      <c r="E17" s="157">
        <v>1</v>
      </c>
      <c r="F17" s="71" t="s">
        <v>182</v>
      </c>
      <c r="G17" s="70" t="s">
        <v>183</v>
      </c>
      <c r="H17" s="72">
        <v>54.5</v>
      </c>
      <c r="I17" s="72">
        <v>60</v>
      </c>
      <c r="J17" s="162">
        <f>I17*H17*E17</f>
        <v>3270</v>
      </c>
      <c r="K17" s="143">
        <f>SUM(J16:J17)</f>
        <v>28020</v>
      </c>
      <c r="T17" s="26">
        <v>1</v>
      </c>
    </row>
    <row r="18" spans="2:23" ht="20.100000000000001" customHeight="1" x14ac:dyDescent="0.2">
      <c r="B18" s="60"/>
      <c r="K18" s="142"/>
    </row>
    <row r="19" spans="2:23" ht="20.100000000000001" customHeight="1" x14ac:dyDescent="0.2">
      <c r="B19" s="69">
        <v>46072</v>
      </c>
      <c r="C19" s="70" t="s">
        <v>60</v>
      </c>
      <c r="D19" s="71" t="s">
        <v>180</v>
      </c>
      <c r="E19" s="71">
        <v>422</v>
      </c>
      <c r="F19" s="71" t="s">
        <v>12</v>
      </c>
      <c r="G19" s="70" t="s">
        <v>181</v>
      </c>
      <c r="H19" s="72">
        <v>160</v>
      </c>
      <c r="I19" s="72">
        <v>12</v>
      </c>
      <c r="J19" s="73">
        <f>I19*H19*E19</f>
        <v>810240</v>
      </c>
      <c r="K19" s="143">
        <f>J19</f>
        <v>810240</v>
      </c>
      <c r="T19" s="26">
        <v>1</v>
      </c>
      <c r="W19" s="57"/>
    </row>
    <row r="20" spans="2:23" ht="20.100000000000001" customHeight="1" x14ac:dyDescent="0.2">
      <c r="B20" s="60"/>
      <c r="K20" s="142"/>
    </row>
    <row r="21" spans="2:23" ht="20.100000000000001" customHeight="1" x14ac:dyDescent="0.2">
      <c r="B21" s="69">
        <v>46080</v>
      </c>
      <c r="C21" s="70" t="s">
        <v>13</v>
      </c>
      <c r="D21" s="71" t="s">
        <v>185</v>
      </c>
      <c r="E21" s="71">
        <v>500</v>
      </c>
      <c r="F21" s="71" t="s">
        <v>12</v>
      </c>
      <c r="G21" s="70" t="s">
        <v>33</v>
      </c>
      <c r="H21" s="72">
        <v>641.25</v>
      </c>
      <c r="I21" s="72">
        <v>6</v>
      </c>
      <c r="J21" s="144">
        <f>I21*H21*E21</f>
        <v>1923750</v>
      </c>
      <c r="K21" s="143">
        <f>J21</f>
        <v>1923750</v>
      </c>
      <c r="T21" s="26">
        <v>2</v>
      </c>
      <c r="U21" s="145"/>
    </row>
    <row r="22" spans="2:23" ht="20.100000000000001" customHeight="1" x14ac:dyDescent="0.2">
      <c r="B22" s="60"/>
      <c r="K22" s="142"/>
    </row>
    <row r="23" spans="2:23" ht="20.100000000000001" customHeight="1" thickBot="1" x14ac:dyDescent="0.25">
      <c r="B23" s="79"/>
      <c r="C23" s="80"/>
      <c r="D23" s="81"/>
      <c r="E23" s="81"/>
      <c r="F23" s="81"/>
      <c r="G23" s="80"/>
      <c r="H23" s="82"/>
      <c r="I23" s="83" t="s">
        <v>65</v>
      </c>
      <c r="J23" s="90">
        <f>SUM(J7:J22)</f>
        <v>5729010</v>
      </c>
      <c r="K23" s="166">
        <f>J23-K7-K9-K11-K14-K17-K19-K21</f>
        <v>0</v>
      </c>
      <c r="O23" s="57"/>
    </row>
    <row r="24" spans="2:23" ht="20.100000000000001" customHeight="1" thickTop="1" x14ac:dyDescent="0.2">
      <c r="O24" s="137"/>
      <c r="Q24" s="137"/>
    </row>
    <row r="26" spans="2:23" ht="20.100000000000001" customHeight="1" x14ac:dyDescent="0.2">
      <c r="B26" s="59" t="s">
        <v>25</v>
      </c>
      <c r="F26" s="28" t="s">
        <v>26</v>
      </c>
    </row>
    <row r="27" spans="2:23" ht="20.100000000000001" customHeight="1" x14ac:dyDescent="0.2">
      <c r="C27" s="26" t="s">
        <v>27</v>
      </c>
      <c r="G27" s="26" t="s">
        <v>35</v>
      </c>
    </row>
    <row r="32" spans="2:23" ht="20.100000000000001" customHeight="1" x14ac:dyDescent="0.2">
      <c r="B32" s="84" t="s">
        <v>23</v>
      </c>
    </row>
    <row r="33" spans="1:30" ht="20.100000000000001" customHeight="1" x14ac:dyDescent="0.2">
      <c r="B33" s="84" t="s">
        <v>1</v>
      </c>
    </row>
    <row r="34" spans="1:30" ht="20.100000000000001" customHeight="1" x14ac:dyDescent="0.2">
      <c r="B34" s="84" t="s">
        <v>172</v>
      </c>
    </row>
    <row r="36" spans="1:30" ht="20.100000000000001" customHeight="1" x14ac:dyDescent="0.2">
      <c r="B36" s="66" t="s">
        <v>2</v>
      </c>
      <c r="C36" s="67" t="s">
        <v>3</v>
      </c>
      <c r="D36" s="67" t="s">
        <v>4</v>
      </c>
      <c r="E36" s="67" t="s">
        <v>21</v>
      </c>
      <c r="F36" s="67" t="s">
        <v>6</v>
      </c>
      <c r="G36" s="67" t="s">
        <v>7</v>
      </c>
      <c r="H36" s="68" t="s">
        <v>8</v>
      </c>
      <c r="I36" s="68" t="s">
        <v>9</v>
      </c>
      <c r="J36" s="68" t="s">
        <v>10</v>
      </c>
      <c r="K36" s="68" t="s">
        <v>22</v>
      </c>
    </row>
    <row r="37" spans="1:30" ht="18.75" customHeight="1" x14ac:dyDescent="0.2">
      <c r="A37" s="29"/>
      <c r="B37" s="60"/>
      <c r="K37" s="142"/>
      <c r="O37" s="26">
        <f>3184500</f>
        <v>3184500</v>
      </c>
      <c r="W37" s="57"/>
    </row>
    <row r="38" spans="1:30" ht="20.100000000000001" customHeight="1" x14ac:dyDescent="0.2">
      <c r="A38" s="29"/>
      <c r="B38" s="168"/>
      <c r="C38" s="89"/>
      <c r="D38" s="88"/>
      <c r="E38" s="71"/>
      <c r="F38" s="71"/>
      <c r="G38" s="70"/>
      <c r="H38" s="72"/>
      <c r="I38" s="72"/>
      <c r="J38" s="73">
        <f>I38*H38*E38</f>
        <v>0</v>
      </c>
      <c r="K38" s="141"/>
      <c r="O38" s="26">
        <v>780000</v>
      </c>
      <c r="U38" s="145"/>
    </row>
    <row r="39" spans="1:30" ht="20.100000000000001" customHeight="1" x14ac:dyDescent="0.2">
      <c r="A39" s="29"/>
      <c r="B39" s="79"/>
      <c r="C39" s="80"/>
      <c r="D39" s="157"/>
      <c r="E39" s="98"/>
      <c r="F39" s="71"/>
      <c r="G39" s="89"/>
      <c r="H39" s="86"/>
      <c r="I39" s="86"/>
      <c r="J39" s="87">
        <f>I39*H39*E39</f>
        <v>0</v>
      </c>
      <c r="K39" s="165">
        <f>J39+J38</f>
        <v>0</v>
      </c>
      <c r="L39" s="26">
        <v>1.1200000000000001</v>
      </c>
      <c r="M39" s="57">
        <f>K39/L39</f>
        <v>0</v>
      </c>
      <c r="N39" s="57">
        <f>K39-M39</f>
        <v>0</v>
      </c>
      <c r="O39" s="57">
        <v>0.01</v>
      </c>
      <c r="P39" s="26">
        <f>O39*M39</f>
        <v>0</v>
      </c>
      <c r="Q39" s="57">
        <f>N39-P39</f>
        <v>0</v>
      </c>
      <c r="R39" s="57">
        <f>Q39+M39</f>
        <v>0</v>
      </c>
      <c r="S39" s="57">
        <f>K39-R39</f>
        <v>0</v>
      </c>
      <c r="W39" s="57"/>
      <c r="Y39" s="57"/>
      <c r="Z39" s="57"/>
      <c r="AB39" s="57"/>
    </row>
    <row r="40" spans="1:30" ht="20.100000000000001" customHeight="1" x14ac:dyDescent="0.2">
      <c r="A40" s="29"/>
      <c r="B40" s="63"/>
      <c r="C40" s="64"/>
      <c r="D40" s="65"/>
      <c r="E40" s="81"/>
      <c r="F40" s="81"/>
      <c r="G40" s="80"/>
      <c r="H40" s="82"/>
      <c r="I40" s="82"/>
      <c r="J40" s="164"/>
      <c r="K40" s="141"/>
    </row>
    <row r="41" spans="1:30" ht="20.100000000000001" customHeight="1" x14ac:dyDescent="0.2">
      <c r="B41" s="60"/>
      <c r="E41" s="161"/>
      <c r="F41" s="71"/>
      <c r="G41" s="170"/>
      <c r="H41" s="167"/>
      <c r="I41" s="167"/>
      <c r="J41" s="171">
        <f>I41*H41*E41</f>
        <v>0</v>
      </c>
      <c r="K41" s="172">
        <f>J41</f>
        <v>0</v>
      </c>
      <c r="L41" s="26">
        <v>1.1200000000000001</v>
      </c>
      <c r="M41" s="57">
        <f>K41/L41</f>
        <v>0</v>
      </c>
      <c r="N41" s="57">
        <f>K41-M41</f>
        <v>0</v>
      </c>
      <c r="O41" s="57">
        <v>0.01</v>
      </c>
      <c r="P41" s="26">
        <f>O41*M41</f>
        <v>0</v>
      </c>
      <c r="Q41" s="57">
        <f>N41-P41</f>
        <v>0</v>
      </c>
      <c r="R41" s="57">
        <f>Q41+M41</f>
        <v>0</v>
      </c>
      <c r="S41" s="57">
        <f>K41-R41</f>
        <v>0</v>
      </c>
      <c r="U41" s="145"/>
      <c r="W41" s="57"/>
      <c r="AC41" s="57"/>
      <c r="AD41" s="57"/>
    </row>
    <row r="42" spans="1:30" ht="20.100000000000001" customHeight="1" x14ac:dyDescent="0.2">
      <c r="B42" s="79"/>
      <c r="C42" s="80"/>
      <c r="D42" s="81"/>
      <c r="E42" s="81"/>
      <c r="F42" s="81"/>
      <c r="G42" s="80"/>
      <c r="H42" s="82"/>
      <c r="I42" s="82"/>
      <c r="J42" s="164"/>
      <c r="K42" s="141"/>
    </row>
    <row r="43" spans="1:30" ht="20.100000000000001" customHeight="1" x14ac:dyDescent="0.2">
      <c r="B43" s="69"/>
      <c r="C43" s="70"/>
      <c r="D43" s="71"/>
      <c r="E43" s="71"/>
      <c r="F43" s="71"/>
      <c r="G43" s="159"/>
      <c r="H43" s="72"/>
      <c r="I43" s="72"/>
      <c r="J43" s="73">
        <f>I43*H43*E43</f>
        <v>0</v>
      </c>
      <c r="K43" s="169">
        <f>J43</f>
        <v>0</v>
      </c>
      <c r="L43" s="26">
        <v>1.1200000000000001</v>
      </c>
      <c r="M43" s="57">
        <f>K43/L43</f>
        <v>0</v>
      </c>
      <c r="N43" s="57">
        <f>K43-M43</f>
        <v>0</v>
      </c>
      <c r="O43" s="57">
        <v>0.01</v>
      </c>
      <c r="P43" s="26">
        <f>O43*M43</f>
        <v>0</v>
      </c>
      <c r="Q43" s="57">
        <f>N43-P43</f>
        <v>0</v>
      </c>
      <c r="R43" s="57">
        <f>Q43+M43</f>
        <v>0</v>
      </c>
      <c r="S43" s="57">
        <f>K43-R43</f>
        <v>0</v>
      </c>
      <c r="U43" s="145"/>
    </row>
    <row r="44" spans="1:30" ht="20.100000000000001" customHeight="1" x14ac:dyDescent="0.2">
      <c r="B44" s="60"/>
      <c r="K44" s="61"/>
    </row>
    <row r="45" spans="1:30" ht="20.100000000000001" customHeight="1" thickBot="1" x14ac:dyDescent="0.25">
      <c r="B45" s="79"/>
      <c r="C45" s="80"/>
      <c r="D45" s="81"/>
      <c r="E45" s="81"/>
      <c r="F45" s="81"/>
      <c r="G45" s="80"/>
      <c r="H45" s="82"/>
      <c r="I45" s="83" t="s">
        <v>134</v>
      </c>
      <c r="J45" s="90">
        <f>SUM(J37:J44)</f>
        <v>0</v>
      </c>
      <c r="K45" s="78">
        <f>SUM(K38:K44)</f>
        <v>0</v>
      </c>
    </row>
    <row r="46" spans="1:30" ht="20.100000000000001" customHeight="1" thickTop="1" x14ac:dyDescent="0.2"/>
    <row r="47" spans="1:30" ht="20.100000000000001" customHeight="1" x14ac:dyDescent="0.2">
      <c r="J47" s="57">
        <f>J45+J25</f>
        <v>0</v>
      </c>
      <c r="K47" s="58"/>
    </row>
    <row r="48" spans="1:30" ht="20.100000000000001" customHeight="1" x14ac:dyDescent="0.2">
      <c r="H48" s="57"/>
      <c r="J48" s="57">
        <f>J47/1.12</f>
        <v>0</v>
      </c>
    </row>
    <row r="49" spans="2:10" ht="20.100000000000001" customHeight="1" x14ac:dyDescent="0.2">
      <c r="B49" s="59" t="s">
        <v>25</v>
      </c>
      <c r="F49" s="28" t="s">
        <v>26</v>
      </c>
      <c r="H49" s="57"/>
      <c r="J49" s="57">
        <f>J47-J48</f>
        <v>0</v>
      </c>
    </row>
    <row r="50" spans="2:10" ht="20.100000000000001" customHeight="1" x14ac:dyDescent="0.2">
      <c r="C50" s="26" t="s">
        <v>27</v>
      </c>
      <c r="G50" s="26" t="s">
        <v>35</v>
      </c>
    </row>
  </sheetData>
  <mergeCells count="1">
    <mergeCell ref="V10:X10"/>
  </mergeCells>
  <printOptions gridLines="1"/>
  <pageMargins left="0.7" right="0.7" top="0.75" bottom="0.75" header="0.3" footer="0.3"/>
  <pageSetup scale="56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CFD9-1E6C-44A5-864D-6124757497B1}">
  <sheetPr codeName="Sheet4">
    <pageSetUpPr fitToPage="1"/>
  </sheetPr>
  <dimension ref="A1:S50"/>
  <sheetViews>
    <sheetView zoomScale="85" zoomScaleNormal="85" workbookViewId="0">
      <selection activeCell="G22" sqref="G22:H22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4.42578125" style="26" customWidth="1"/>
    <col min="4" max="4" width="13" style="29" customWidth="1"/>
    <col min="5" max="6" width="9.140625" style="29"/>
    <col min="7" max="7" width="62.85546875" style="26" bestFit="1" customWidth="1"/>
    <col min="8" max="8" width="14.28515625" style="58" bestFit="1" customWidth="1"/>
    <col min="9" max="9" width="9.140625" style="58"/>
    <col min="10" max="10" width="17.85546875" style="57" customWidth="1"/>
    <col min="11" max="11" width="17" style="57" bestFit="1" customWidth="1"/>
    <col min="12" max="12" width="9.140625" style="26"/>
    <col min="13" max="13" width="15" style="26" customWidth="1"/>
    <col min="14" max="14" width="10.85546875" style="26" customWidth="1"/>
    <col min="15" max="15" width="11.28515625" style="26" customWidth="1"/>
    <col min="16" max="16" width="17.5703125" style="26" bestFit="1" customWidth="1"/>
    <col min="17" max="17" width="16" style="26" customWidth="1"/>
    <col min="18" max="18" width="12.85546875" style="26" bestFit="1" customWidth="1"/>
    <col min="19" max="19" width="16" style="26" bestFit="1" customWidth="1"/>
    <col min="20" max="16384" width="9.140625" style="26"/>
  </cols>
  <sheetData>
    <row r="1" spans="2:19" ht="20.100000000000001" customHeight="1" x14ac:dyDescent="0.2">
      <c r="B1" s="84" t="s">
        <v>24</v>
      </c>
    </row>
    <row r="2" spans="2:19" ht="20.100000000000001" customHeight="1" x14ac:dyDescent="0.2">
      <c r="B2" s="84" t="s">
        <v>1</v>
      </c>
    </row>
    <row r="3" spans="2:19" ht="20.100000000000001" customHeight="1" x14ac:dyDescent="0.2">
      <c r="B3" s="84" t="s">
        <v>187</v>
      </c>
    </row>
    <row r="4" spans="2:19" ht="20.100000000000001" customHeight="1" x14ac:dyDescent="0.2">
      <c r="M4" s="176" t="s">
        <v>188</v>
      </c>
    </row>
    <row r="5" spans="2:19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</row>
    <row r="6" spans="2:19" ht="20.100000000000001" customHeight="1" x14ac:dyDescent="0.2">
      <c r="B6" s="60"/>
      <c r="K6" s="61"/>
      <c r="M6" s="67" t="s">
        <v>2</v>
      </c>
      <c r="N6" s="67" t="s">
        <v>136</v>
      </c>
      <c r="O6" s="67" t="s">
        <v>137</v>
      </c>
      <c r="P6" s="67" t="s">
        <v>138</v>
      </c>
      <c r="Q6" s="67"/>
      <c r="R6" s="67" t="s">
        <v>139</v>
      </c>
      <c r="S6" s="67" t="s">
        <v>140</v>
      </c>
    </row>
    <row r="7" spans="2:19" ht="20.100000000000001" customHeight="1" x14ac:dyDescent="0.2">
      <c r="B7" s="69">
        <v>46094</v>
      </c>
      <c r="C7" s="70" t="s">
        <v>13</v>
      </c>
      <c r="D7" s="71">
        <v>14559</v>
      </c>
      <c r="E7" s="71">
        <v>600</v>
      </c>
      <c r="F7" s="71" t="s">
        <v>12</v>
      </c>
      <c r="G7" s="70" t="s">
        <v>189</v>
      </c>
      <c r="H7" s="72">
        <v>400</v>
      </c>
      <c r="I7" s="72">
        <v>12</v>
      </c>
      <c r="J7" s="73">
        <f t="shared" ref="J7:J8" si="0">I7*H7*E7</f>
        <v>2880000</v>
      </c>
      <c r="K7" s="143"/>
      <c r="M7" s="69">
        <v>46098</v>
      </c>
      <c r="N7" s="71">
        <v>14573</v>
      </c>
      <c r="O7" s="73"/>
      <c r="P7" s="73">
        <v>407700</v>
      </c>
      <c r="Q7" s="73">
        <f>P7/1.12</f>
        <v>364017.8571428571</v>
      </c>
      <c r="R7" s="73">
        <f>Q7*0.01</f>
        <v>3640.1785714285711</v>
      </c>
      <c r="S7" s="73">
        <f>P7-R7</f>
        <v>404059.82142857142</v>
      </c>
    </row>
    <row r="8" spans="2:19" ht="20.100000000000001" customHeight="1" x14ac:dyDescent="0.2">
      <c r="B8" s="63"/>
      <c r="C8" s="64"/>
      <c r="D8" s="99"/>
      <c r="E8" s="160">
        <v>200</v>
      </c>
      <c r="F8" s="71" t="s">
        <v>12</v>
      </c>
      <c r="G8" s="70" t="s">
        <v>80</v>
      </c>
      <c r="H8" s="72">
        <v>820</v>
      </c>
      <c r="I8" s="72">
        <v>12</v>
      </c>
      <c r="J8" s="73">
        <f t="shared" si="0"/>
        <v>1968000</v>
      </c>
      <c r="K8" s="143">
        <f>SUM(J7:J8)</f>
        <v>4848000</v>
      </c>
      <c r="L8" s="26">
        <v>4</v>
      </c>
      <c r="M8" s="71"/>
      <c r="N8" s="71"/>
      <c r="O8" s="73"/>
      <c r="P8" s="73"/>
      <c r="Q8" s="70"/>
      <c r="R8" s="70"/>
      <c r="S8" s="70"/>
    </row>
    <row r="9" spans="2:19" ht="20.100000000000001" customHeight="1" x14ac:dyDescent="0.2">
      <c r="B9" s="60"/>
      <c r="K9" s="142"/>
      <c r="M9" s="71"/>
      <c r="N9" s="71"/>
      <c r="O9" s="73"/>
      <c r="P9" s="73"/>
      <c r="Q9" s="70"/>
      <c r="R9" s="70"/>
      <c r="S9" s="70"/>
    </row>
    <row r="10" spans="2:19" ht="20.100000000000001" customHeight="1" x14ac:dyDescent="0.2">
      <c r="B10" s="69">
        <v>46098</v>
      </c>
      <c r="C10" s="70" t="s">
        <v>13</v>
      </c>
      <c r="D10" s="71">
        <v>14573</v>
      </c>
      <c r="E10" s="71">
        <v>30</v>
      </c>
      <c r="F10" s="71" t="s">
        <v>12</v>
      </c>
      <c r="G10" s="70" t="s">
        <v>179</v>
      </c>
      <c r="H10" s="72">
        <v>377.5</v>
      </c>
      <c r="I10" s="72">
        <v>36</v>
      </c>
      <c r="J10" s="73">
        <f t="shared" ref="J10" si="1">E10*H10*I10</f>
        <v>407700</v>
      </c>
      <c r="K10" s="173">
        <f>J10</f>
        <v>407700</v>
      </c>
      <c r="L10" s="26">
        <v>1</v>
      </c>
      <c r="M10" s="69">
        <v>46099</v>
      </c>
      <c r="N10" s="71">
        <v>14577</v>
      </c>
      <c r="O10" s="73"/>
      <c r="P10" s="73">
        <v>2952000</v>
      </c>
      <c r="Q10" s="73">
        <f>P10/1.12</f>
        <v>2635714.2857142854</v>
      </c>
      <c r="R10" s="73">
        <f>Q10*0.01</f>
        <v>26357.142857142855</v>
      </c>
      <c r="S10" s="73">
        <f>P10-R10</f>
        <v>2925642.8571428573</v>
      </c>
    </row>
    <row r="11" spans="2:19" ht="20.100000000000001" customHeight="1" x14ac:dyDescent="0.2">
      <c r="B11" s="60"/>
      <c r="K11" s="142"/>
      <c r="M11" s="71"/>
      <c r="N11" s="71"/>
      <c r="O11" s="73"/>
      <c r="P11" s="73"/>
      <c r="Q11" s="70"/>
      <c r="R11" s="70"/>
      <c r="S11" s="70"/>
    </row>
    <row r="12" spans="2:19" ht="20.100000000000001" customHeight="1" x14ac:dyDescent="0.2">
      <c r="B12" s="69">
        <v>46099</v>
      </c>
      <c r="C12" s="70" t="s">
        <v>13</v>
      </c>
      <c r="D12" s="71">
        <v>14577</v>
      </c>
      <c r="E12" s="71">
        <v>300</v>
      </c>
      <c r="F12" s="71" t="s">
        <v>12</v>
      </c>
      <c r="G12" s="70" t="s">
        <v>80</v>
      </c>
      <c r="H12" s="72">
        <v>820</v>
      </c>
      <c r="I12" s="72">
        <v>12</v>
      </c>
      <c r="J12" s="73">
        <f>I12*H12*E12</f>
        <v>2952000</v>
      </c>
      <c r="K12" s="173">
        <f>J12</f>
        <v>2952000</v>
      </c>
      <c r="L12" s="26">
        <v>3</v>
      </c>
      <c r="M12" s="71"/>
      <c r="N12" s="71"/>
      <c r="O12" s="73"/>
      <c r="P12" s="73"/>
      <c r="Q12" s="70"/>
      <c r="R12" s="70"/>
      <c r="S12" s="70"/>
    </row>
    <row r="13" spans="2:19" ht="20.100000000000001" customHeight="1" x14ac:dyDescent="0.2">
      <c r="B13" s="60"/>
      <c r="K13" s="142"/>
      <c r="M13" s="69">
        <v>46106</v>
      </c>
      <c r="N13" s="71">
        <v>14592</v>
      </c>
      <c r="O13" s="73"/>
      <c r="P13" s="73">
        <v>3459300</v>
      </c>
      <c r="Q13" s="73">
        <f>P13/1.12</f>
        <v>3088660.7142857141</v>
      </c>
      <c r="R13" s="73">
        <f>Q13*0.01</f>
        <v>30886.607142857141</v>
      </c>
      <c r="S13" s="73">
        <f>P13-R13</f>
        <v>3428413.3928571427</v>
      </c>
    </row>
    <row r="14" spans="2:19" ht="20.100000000000001" customHeight="1" x14ac:dyDescent="0.2">
      <c r="B14" s="168">
        <v>46106</v>
      </c>
      <c r="C14" s="70" t="s">
        <v>13</v>
      </c>
      <c r="D14" s="88">
        <v>14592</v>
      </c>
      <c r="E14" s="71">
        <v>300</v>
      </c>
      <c r="F14" s="71" t="s">
        <v>12</v>
      </c>
      <c r="G14" s="70" t="s">
        <v>87</v>
      </c>
      <c r="H14" s="72">
        <v>160</v>
      </c>
      <c r="I14" s="72">
        <v>12</v>
      </c>
      <c r="J14" s="73">
        <f t="shared" ref="J14:J18" si="2">E14*H14*I14</f>
        <v>576000</v>
      </c>
      <c r="K14" s="140"/>
      <c r="M14" s="71"/>
      <c r="N14" s="71"/>
      <c r="O14" s="73"/>
      <c r="P14" s="73"/>
      <c r="Q14" s="70"/>
      <c r="R14" s="70"/>
      <c r="S14" s="70"/>
    </row>
    <row r="15" spans="2:19" ht="20.100000000000001" customHeight="1" x14ac:dyDescent="0.2">
      <c r="B15" s="75"/>
      <c r="C15" s="76"/>
      <c r="D15" s="98"/>
      <c r="E15" s="157">
        <v>100</v>
      </c>
      <c r="F15" s="71" t="s">
        <v>12</v>
      </c>
      <c r="G15" s="70" t="s">
        <v>88</v>
      </c>
      <c r="H15" s="72">
        <v>92.5</v>
      </c>
      <c r="I15" s="72">
        <v>24</v>
      </c>
      <c r="J15" s="73">
        <f t="shared" si="2"/>
        <v>222000</v>
      </c>
      <c r="K15" s="140"/>
      <c r="M15" s="69"/>
      <c r="N15" s="71"/>
      <c r="O15" s="70"/>
      <c r="P15" s="73"/>
      <c r="Q15" s="70"/>
      <c r="R15" s="70"/>
      <c r="S15" s="70"/>
    </row>
    <row r="16" spans="2:19" ht="20.100000000000001" customHeight="1" x14ac:dyDescent="0.2">
      <c r="B16" s="60"/>
      <c r="D16" s="136"/>
      <c r="E16" s="157">
        <v>100</v>
      </c>
      <c r="F16" s="71" t="s">
        <v>12</v>
      </c>
      <c r="G16" s="70" t="s">
        <v>113</v>
      </c>
      <c r="H16" s="72">
        <v>55</v>
      </c>
      <c r="I16" s="72">
        <v>36</v>
      </c>
      <c r="J16" s="73">
        <f t="shared" si="2"/>
        <v>198000</v>
      </c>
      <c r="K16" s="140"/>
      <c r="M16" s="69"/>
      <c r="N16" s="71"/>
      <c r="O16" s="70"/>
      <c r="P16" s="73"/>
      <c r="Q16" s="73">
        <f>P16/1.12</f>
        <v>0</v>
      </c>
      <c r="R16" s="73">
        <f>Q16*0.01</f>
        <v>0</v>
      </c>
      <c r="S16" s="73">
        <f>P16-R16</f>
        <v>0</v>
      </c>
    </row>
    <row r="17" spans="2:19" ht="20.100000000000001" customHeight="1" x14ac:dyDescent="0.2">
      <c r="B17" s="60"/>
      <c r="D17" s="136"/>
      <c r="E17" s="157">
        <v>70</v>
      </c>
      <c r="F17" s="71" t="s">
        <v>12</v>
      </c>
      <c r="G17" s="70" t="s">
        <v>179</v>
      </c>
      <c r="H17" s="72">
        <v>377.5</v>
      </c>
      <c r="I17" s="72">
        <v>36</v>
      </c>
      <c r="J17" s="73">
        <f t="shared" si="2"/>
        <v>951300</v>
      </c>
      <c r="K17" s="140"/>
      <c r="M17" s="177"/>
      <c r="N17" s="70"/>
      <c r="O17" s="70"/>
      <c r="P17" s="70"/>
      <c r="Q17" s="70"/>
      <c r="R17" s="70"/>
      <c r="S17" s="70"/>
    </row>
    <row r="18" spans="2:19" ht="20.100000000000001" customHeight="1" x14ac:dyDescent="0.2">
      <c r="B18" s="63"/>
      <c r="C18" s="64"/>
      <c r="D18" s="99"/>
      <c r="E18" s="157">
        <v>315</v>
      </c>
      <c r="F18" s="71" t="s">
        <v>12</v>
      </c>
      <c r="G18" s="147" t="s">
        <v>34</v>
      </c>
      <c r="H18" s="72">
        <v>400</v>
      </c>
      <c r="I18" s="72">
        <v>12</v>
      </c>
      <c r="J18" s="73">
        <f t="shared" si="2"/>
        <v>1512000</v>
      </c>
      <c r="K18" s="146">
        <f>SUM(J14:J18)</f>
        <v>3459300</v>
      </c>
      <c r="L18" s="26">
        <v>3</v>
      </c>
      <c r="M18" s="198" t="s">
        <v>141</v>
      </c>
      <c r="N18" s="199"/>
      <c r="O18" s="200"/>
      <c r="P18" s="74">
        <f>SUM(P7:P17)</f>
        <v>6819000</v>
      </c>
      <c r="Q18" s="74">
        <f>SUM(Q7:Q17)</f>
        <v>6088392.8571428563</v>
      </c>
      <c r="R18" s="74">
        <f>SUM(R7:R17)</f>
        <v>60883.928571428565</v>
      </c>
      <c r="S18" s="74">
        <f>SUM(S7:S17)</f>
        <v>6758116.0714285709</v>
      </c>
    </row>
    <row r="19" spans="2:19" ht="20.100000000000001" customHeight="1" x14ac:dyDescent="0.2">
      <c r="B19" s="60"/>
      <c r="K19" s="62"/>
      <c r="M19" s="145"/>
    </row>
    <row r="20" spans="2:19" ht="20.100000000000001" customHeight="1" x14ac:dyDescent="0.2">
      <c r="B20" s="69">
        <v>46107</v>
      </c>
      <c r="C20" s="70" t="s">
        <v>13</v>
      </c>
      <c r="D20" s="71">
        <v>14597</v>
      </c>
      <c r="E20" s="71">
        <v>500</v>
      </c>
      <c r="F20" s="71" t="s">
        <v>12</v>
      </c>
      <c r="G20" s="147" t="s">
        <v>14</v>
      </c>
      <c r="H20" s="72">
        <v>335</v>
      </c>
      <c r="I20" s="72">
        <v>12</v>
      </c>
      <c r="J20" s="73">
        <f t="shared" ref="J20" si="3">I20*H20*E20</f>
        <v>2010000</v>
      </c>
      <c r="K20" s="74">
        <f>SUM(J20:J20)</f>
        <v>2010000</v>
      </c>
      <c r="L20" s="26">
        <v>2</v>
      </c>
      <c r="M20" s="145"/>
      <c r="P20" s="29" t="s">
        <v>143</v>
      </c>
      <c r="Q20" s="57">
        <f>P18</f>
        <v>6819000</v>
      </c>
    </row>
    <row r="21" spans="2:19" ht="20.100000000000001" customHeight="1" x14ac:dyDescent="0.2">
      <c r="B21" s="60"/>
      <c r="K21" s="62"/>
      <c r="M21" s="145"/>
      <c r="P21" s="29" t="s">
        <v>144</v>
      </c>
      <c r="Q21" s="57">
        <v>13677000</v>
      </c>
    </row>
    <row r="22" spans="2:19" ht="20.100000000000001" customHeight="1" thickBot="1" x14ac:dyDescent="0.25">
      <c r="B22" s="69">
        <v>46109</v>
      </c>
      <c r="C22" s="70" t="s">
        <v>145</v>
      </c>
      <c r="D22" s="71">
        <v>8126</v>
      </c>
      <c r="E22" s="71">
        <v>200</v>
      </c>
      <c r="F22" s="71" t="s">
        <v>12</v>
      </c>
      <c r="G22" s="70" t="s">
        <v>190</v>
      </c>
      <c r="H22" s="72">
        <v>420</v>
      </c>
      <c r="I22" s="72">
        <v>12</v>
      </c>
      <c r="J22" s="73">
        <f t="shared" ref="J22" si="4">I22*H22*E22</f>
        <v>1008000</v>
      </c>
      <c r="K22" s="143">
        <f>SUM(J22:J22)</f>
        <v>1008000</v>
      </c>
      <c r="L22" s="26">
        <v>1</v>
      </c>
      <c r="M22" s="57"/>
      <c r="N22" s="57"/>
      <c r="O22" s="57"/>
      <c r="Q22" s="180">
        <f>Q20/Q21</f>
        <v>0.4985742487387585</v>
      </c>
    </row>
    <row r="23" spans="2:19" ht="20.100000000000001" customHeight="1" thickTop="1" x14ac:dyDescent="0.2">
      <c r="B23" s="60"/>
      <c r="K23" s="62"/>
      <c r="M23" s="145"/>
    </row>
    <row r="24" spans="2:19" ht="20.100000000000001" customHeight="1" x14ac:dyDescent="0.2">
      <c r="B24" s="60"/>
      <c r="K24" s="61"/>
    </row>
    <row r="25" spans="2:19" ht="20.100000000000001" customHeight="1" thickBot="1" x14ac:dyDescent="0.25">
      <c r="B25" s="79"/>
      <c r="C25" s="80"/>
      <c r="D25" s="81"/>
      <c r="E25" s="81"/>
      <c r="F25" s="81"/>
      <c r="G25" s="80"/>
      <c r="H25" s="82"/>
      <c r="I25" s="83" t="s">
        <v>68</v>
      </c>
      <c r="J25" s="90">
        <f>SUM(J7:J24)</f>
        <v>14685000</v>
      </c>
      <c r="K25" s="78">
        <f>J25-K8-K10-K12-K18-K20-K22</f>
        <v>0</v>
      </c>
      <c r="O25" s="57"/>
    </row>
    <row r="26" spans="2:19" ht="20.100000000000001" customHeight="1" thickTop="1" x14ac:dyDescent="0.2">
      <c r="O26" s="137"/>
      <c r="Q26" s="137"/>
    </row>
    <row r="28" spans="2:19" ht="20.100000000000001" customHeight="1" x14ac:dyDescent="0.2">
      <c r="B28" s="59" t="s">
        <v>25</v>
      </c>
      <c r="F28" s="28" t="s">
        <v>26</v>
      </c>
      <c r="M28" s="57">
        <f>J25*0.5</f>
        <v>7342500</v>
      </c>
    </row>
    <row r="29" spans="2:19" ht="20.100000000000001" customHeight="1" x14ac:dyDescent="0.2">
      <c r="C29" s="26" t="s">
        <v>27</v>
      </c>
      <c r="G29" s="26" t="s">
        <v>35</v>
      </c>
    </row>
    <row r="31" spans="2:19" ht="20.100000000000001" customHeight="1" x14ac:dyDescent="0.2">
      <c r="K31" s="57">
        <v>0</v>
      </c>
    </row>
    <row r="34" spans="1:13" ht="20.100000000000001" customHeight="1" x14ac:dyDescent="0.2">
      <c r="B34" s="84" t="s">
        <v>23</v>
      </c>
    </row>
    <row r="35" spans="1:13" ht="20.100000000000001" customHeight="1" x14ac:dyDescent="0.2">
      <c r="B35" s="84" t="s">
        <v>1</v>
      </c>
    </row>
    <row r="36" spans="1:13" ht="20.100000000000001" customHeight="1" x14ac:dyDescent="0.2">
      <c r="B36" s="84" t="s">
        <v>187</v>
      </c>
    </row>
    <row r="38" spans="1:13" ht="20.100000000000001" customHeight="1" x14ac:dyDescent="0.2">
      <c r="B38" s="66" t="s">
        <v>2</v>
      </c>
      <c r="C38" s="67" t="s">
        <v>3</v>
      </c>
      <c r="D38" s="67" t="s">
        <v>4</v>
      </c>
      <c r="E38" s="67" t="s">
        <v>21</v>
      </c>
      <c r="F38" s="67" t="s">
        <v>6</v>
      </c>
      <c r="G38" s="67" t="s">
        <v>7</v>
      </c>
      <c r="H38" s="68" t="s">
        <v>8</v>
      </c>
      <c r="I38" s="68" t="s">
        <v>9</v>
      </c>
      <c r="J38" s="68" t="s">
        <v>10</v>
      </c>
      <c r="K38" s="68" t="s">
        <v>22</v>
      </c>
    </row>
    <row r="39" spans="1:13" ht="18.75" customHeight="1" x14ac:dyDescent="0.2">
      <c r="A39" s="29"/>
      <c r="B39" s="60"/>
      <c r="K39" s="61"/>
    </row>
    <row r="40" spans="1:13" ht="20.100000000000001" customHeight="1" x14ac:dyDescent="0.2">
      <c r="A40" s="29"/>
      <c r="B40" s="69"/>
      <c r="C40" s="70"/>
      <c r="D40" s="71"/>
      <c r="E40" s="71"/>
      <c r="F40" s="71"/>
      <c r="G40" s="70"/>
      <c r="H40" s="72"/>
      <c r="I40" s="72"/>
      <c r="J40" s="95">
        <f>E40*H40*I40</f>
        <v>0</v>
      </c>
      <c r="K40" s="74">
        <f t="shared" ref="K40" si="5">J40</f>
        <v>0</v>
      </c>
      <c r="M40" s="57"/>
    </row>
    <row r="41" spans="1:13" ht="20.100000000000001" customHeight="1" x14ac:dyDescent="0.2">
      <c r="B41" s="60"/>
      <c r="K41" s="61"/>
    </row>
    <row r="42" spans="1:13" ht="20.100000000000001" customHeight="1" x14ac:dyDescent="0.2">
      <c r="B42" s="69"/>
      <c r="C42" s="70"/>
      <c r="D42" s="71"/>
      <c r="E42" s="71"/>
      <c r="F42" s="71"/>
      <c r="G42" s="70"/>
      <c r="H42" s="72"/>
      <c r="I42" s="86"/>
      <c r="J42" s="138">
        <f>E42*H42*I42</f>
        <v>0</v>
      </c>
      <c r="K42" s="85"/>
    </row>
    <row r="43" spans="1:13" ht="20.100000000000001" customHeight="1" x14ac:dyDescent="0.2">
      <c r="B43" s="63"/>
      <c r="C43" s="64"/>
      <c r="D43" s="65"/>
      <c r="E43" s="71"/>
      <c r="F43" s="71"/>
      <c r="G43" s="70"/>
      <c r="H43" s="139"/>
      <c r="I43" s="139"/>
      <c r="J43" s="95">
        <f t="shared" ref="J43" si="6">E43*H43*I43</f>
        <v>0</v>
      </c>
      <c r="K43" s="74">
        <f>SUM(J42:J43)</f>
        <v>0</v>
      </c>
      <c r="M43" s="57">
        <f>K43/2</f>
        <v>0</v>
      </c>
    </row>
    <row r="44" spans="1:13" ht="20.100000000000001" customHeight="1" x14ac:dyDescent="0.2">
      <c r="B44" s="60"/>
      <c r="K44" s="61"/>
    </row>
    <row r="45" spans="1:13" ht="20.100000000000001" customHeight="1" thickBot="1" x14ac:dyDescent="0.25">
      <c r="B45" s="79"/>
      <c r="C45" s="80"/>
      <c r="D45" s="81"/>
      <c r="E45" s="81"/>
      <c r="F45" s="81"/>
      <c r="G45" s="80"/>
      <c r="H45" s="82"/>
      <c r="I45" s="83" t="s">
        <v>69</v>
      </c>
      <c r="J45" s="90">
        <f>SUM(J39:J44)</f>
        <v>0</v>
      </c>
      <c r="K45" s="78">
        <f>J45-K43-K40</f>
        <v>0</v>
      </c>
    </row>
    <row r="46" spans="1:13" ht="20.100000000000001" customHeight="1" thickTop="1" x14ac:dyDescent="0.2">
      <c r="J46" s="57">
        <f>J45+J25</f>
        <v>14685000</v>
      </c>
    </row>
    <row r="47" spans="1:13" ht="20.100000000000001" customHeight="1" x14ac:dyDescent="0.2">
      <c r="J47" s="57">
        <f>J46*0.6</f>
        <v>8811000</v>
      </c>
    </row>
    <row r="49" spans="2:7" ht="20.100000000000001" customHeight="1" x14ac:dyDescent="0.2">
      <c r="B49" s="59" t="s">
        <v>25</v>
      </c>
      <c r="F49" s="28" t="s">
        <v>26</v>
      </c>
    </row>
    <row r="50" spans="2:7" ht="20.100000000000001" customHeight="1" x14ac:dyDescent="0.2">
      <c r="C50" s="26" t="s">
        <v>27</v>
      </c>
      <c r="G50" s="26" t="s">
        <v>35</v>
      </c>
    </row>
  </sheetData>
  <mergeCells count="1">
    <mergeCell ref="M18:O18"/>
  </mergeCells>
  <pageMargins left="0.7" right="0.7" top="0.75" bottom="0.75" header="0.3" footer="0.3"/>
  <pageSetup scale="92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114C-0470-4762-86E7-C7C6447F96DE}">
  <sheetPr codeName="Sheet5">
    <pageSetUpPr fitToPage="1"/>
  </sheetPr>
  <dimension ref="A1:T52"/>
  <sheetViews>
    <sheetView zoomScale="85" zoomScaleNormal="85" workbookViewId="0">
      <selection activeCell="G29" sqref="G29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4.42578125" style="26" customWidth="1"/>
    <col min="4" max="4" width="13" style="29" customWidth="1"/>
    <col min="5" max="6" width="9.140625" style="29"/>
    <col min="7" max="7" width="62.85546875" style="26" bestFit="1" customWidth="1"/>
    <col min="8" max="8" width="14.28515625" style="58" bestFit="1" customWidth="1"/>
    <col min="9" max="9" width="9.140625" style="58"/>
    <col min="10" max="10" width="18" style="57" customWidth="1"/>
    <col min="11" max="11" width="17" style="57" bestFit="1" customWidth="1"/>
    <col min="12" max="12" width="9.140625" style="26"/>
    <col min="13" max="14" width="14.42578125" style="26" bestFit="1" customWidth="1"/>
    <col min="15" max="15" width="15.5703125" style="26" bestFit="1" customWidth="1"/>
    <col min="16" max="16" width="14.5703125" style="26" customWidth="1"/>
    <col min="17" max="17" width="17.5703125" style="26" bestFit="1" customWidth="1"/>
    <col min="18" max="18" width="16" style="26" bestFit="1" customWidth="1"/>
    <col min="19" max="19" width="12.85546875" style="26" bestFit="1" customWidth="1"/>
    <col min="20" max="20" width="16" style="26" bestFit="1" customWidth="1"/>
    <col min="21" max="16384" width="9.140625" style="26"/>
  </cols>
  <sheetData>
    <row r="1" spans="2:20" ht="20.100000000000001" customHeight="1" x14ac:dyDescent="0.2">
      <c r="B1" s="84" t="s">
        <v>24</v>
      </c>
    </row>
    <row r="2" spans="2:20" ht="20.100000000000001" customHeight="1" x14ac:dyDescent="0.2">
      <c r="B2" s="84" t="s">
        <v>1</v>
      </c>
    </row>
    <row r="3" spans="2:20" ht="20.100000000000001" customHeight="1" x14ac:dyDescent="0.2">
      <c r="B3" s="84" t="s">
        <v>191</v>
      </c>
    </row>
    <row r="4" spans="2:20" ht="20.100000000000001" customHeight="1" x14ac:dyDescent="0.2">
      <c r="N4" s="176" t="s">
        <v>192</v>
      </c>
    </row>
    <row r="5" spans="2:20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</row>
    <row r="6" spans="2:20" ht="20.100000000000001" customHeight="1" x14ac:dyDescent="0.2">
      <c r="B6" s="60"/>
      <c r="E6" s="19"/>
      <c r="K6" s="61"/>
      <c r="N6" s="67" t="s">
        <v>2</v>
      </c>
      <c r="O6" s="67" t="s">
        <v>136</v>
      </c>
      <c r="P6" s="67" t="s">
        <v>137</v>
      </c>
      <c r="Q6" s="67" t="s">
        <v>138</v>
      </c>
      <c r="R6" s="67"/>
      <c r="S6" s="67" t="s">
        <v>139</v>
      </c>
      <c r="T6" s="67" t="s">
        <v>140</v>
      </c>
    </row>
    <row r="7" spans="2:20" ht="20.100000000000001" customHeight="1" x14ac:dyDescent="0.2">
      <c r="B7" s="69">
        <v>46127</v>
      </c>
      <c r="C7" s="70" t="s">
        <v>13</v>
      </c>
      <c r="D7" s="71">
        <v>14621</v>
      </c>
      <c r="E7" s="185">
        <v>50</v>
      </c>
      <c r="F7" s="71" t="s">
        <v>12</v>
      </c>
      <c r="G7" s="70" t="s">
        <v>120</v>
      </c>
      <c r="H7" s="72">
        <v>208</v>
      </c>
      <c r="I7" s="72">
        <v>12</v>
      </c>
      <c r="J7" s="73">
        <f t="shared" ref="J7" si="0">E7*H7*I7</f>
        <v>124800</v>
      </c>
      <c r="K7" s="173">
        <f>J7</f>
        <v>124800</v>
      </c>
      <c r="L7" s="26">
        <v>1</v>
      </c>
      <c r="N7" s="69">
        <v>46127</v>
      </c>
      <c r="O7" s="71">
        <v>14621</v>
      </c>
      <c r="P7" s="73"/>
      <c r="Q7" s="73">
        <v>124800</v>
      </c>
      <c r="R7" s="73">
        <f>Q7/1.12</f>
        <v>111428.57142857142</v>
      </c>
      <c r="S7" s="73">
        <f>R7*0.01</f>
        <v>1114.2857142857142</v>
      </c>
      <c r="T7" s="73">
        <f>Q7-S7</f>
        <v>123685.71428571429</v>
      </c>
    </row>
    <row r="8" spans="2:20" ht="20.100000000000001" customHeight="1" x14ac:dyDescent="0.2">
      <c r="B8" s="60"/>
      <c r="E8" s="19"/>
      <c r="K8" s="62"/>
      <c r="N8" s="71"/>
      <c r="O8" s="71"/>
      <c r="P8" s="73"/>
      <c r="Q8" s="73"/>
      <c r="R8" s="70"/>
      <c r="S8" s="70"/>
      <c r="T8" s="70"/>
    </row>
    <row r="9" spans="2:20" ht="20.100000000000001" customHeight="1" x14ac:dyDescent="0.2">
      <c r="B9" s="168">
        <v>46128</v>
      </c>
      <c r="C9" s="70" t="s">
        <v>13</v>
      </c>
      <c r="D9" s="88">
        <v>14623</v>
      </c>
      <c r="E9" s="185">
        <v>500</v>
      </c>
      <c r="F9" s="71" t="s">
        <v>12</v>
      </c>
      <c r="G9" s="70" t="s">
        <v>31</v>
      </c>
      <c r="H9" s="72">
        <v>199</v>
      </c>
      <c r="I9" s="72">
        <v>12</v>
      </c>
      <c r="J9" s="73">
        <f t="shared" ref="J9:J13" si="1">E9*H9*I9</f>
        <v>1194000</v>
      </c>
      <c r="K9" s="74"/>
      <c r="N9" s="69">
        <v>46129</v>
      </c>
      <c r="O9" s="71">
        <v>14626</v>
      </c>
      <c r="P9" s="73"/>
      <c r="Q9" s="73">
        <v>955200</v>
      </c>
      <c r="R9" s="73">
        <f>Q9/1.12</f>
        <v>852857.14285714272</v>
      </c>
      <c r="S9" s="73">
        <f>R9*0.01</f>
        <v>8528.5714285714275</v>
      </c>
      <c r="T9" s="73">
        <f>Q9-S9</f>
        <v>946671.42857142852</v>
      </c>
    </row>
    <row r="10" spans="2:20" ht="20.100000000000001" customHeight="1" x14ac:dyDescent="0.2">
      <c r="B10" s="75"/>
      <c r="C10" s="76"/>
      <c r="D10" s="98"/>
      <c r="E10" s="186">
        <v>500</v>
      </c>
      <c r="F10" s="71" t="s">
        <v>12</v>
      </c>
      <c r="G10" s="70" t="s">
        <v>33</v>
      </c>
      <c r="H10" s="72">
        <v>708.75</v>
      </c>
      <c r="I10" s="72">
        <v>6</v>
      </c>
      <c r="J10" s="73">
        <f t="shared" si="1"/>
        <v>2126250</v>
      </c>
      <c r="K10" s="74"/>
      <c r="N10" s="69"/>
      <c r="O10" s="71"/>
      <c r="P10" s="73"/>
      <c r="Q10" s="73"/>
      <c r="R10" s="73"/>
      <c r="S10" s="73"/>
      <c r="T10" s="73"/>
    </row>
    <row r="11" spans="2:20" ht="20.100000000000001" customHeight="1" x14ac:dyDescent="0.2">
      <c r="B11" s="60"/>
      <c r="D11" s="136"/>
      <c r="E11" s="186">
        <v>50</v>
      </c>
      <c r="F11" s="71" t="s">
        <v>12</v>
      </c>
      <c r="G11" s="70" t="s">
        <v>79</v>
      </c>
      <c r="H11" s="72">
        <v>232</v>
      </c>
      <c r="I11" s="72">
        <v>12</v>
      </c>
      <c r="J11" s="73">
        <f t="shared" si="1"/>
        <v>139200</v>
      </c>
      <c r="K11" s="74"/>
      <c r="N11" s="69">
        <v>46135</v>
      </c>
      <c r="O11" s="71">
        <v>14628</v>
      </c>
      <c r="P11" s="73"/>
      <c r="Q11" s="73">
        <v>4921500</v>
      </c>
      <c r="R11" s="73">
        <f>Q11/1.12</f>
        <v>4394196.4285714282</v>
      </c>
      <c r="S11" s="73">
        <f>R11*0.01</f>
        <v>43941.964285714283</v>
      </c>
      <c r="T11" s="73">
        <f>Q11-S11</f>
        <v>4877558.0357142854</v>
      </c>
    </row>
    <row r="12" spans="2:20" ht="20.100000000000001" customHeight="1" x14ac:dyDescent="0.2">
      <c r="B12" s="60"/>
      <c r="D12" s="136"/>
      <c r="E12" s="186">
        <v>30</v>
      </c>
      <c r="F12" s="71" t="s">
        <v>12</v>
      </c>
      <c r="G12" s="70" t="s">
        <v>194</v>
      </c>
      <c r="H12" s="72">
        <v>73</v>
      </c>
      <c r="I12" s="72">
        <v>36</v>
      </c>
      <c r="J12" s="73">
        <f t="shared" si="1"/>
        <v>78840</v>
      </c>
      <c r="K12" s="74"/>
      <c r="N12" s="69"/>
      <c r="O12" s="71"/>
      <c r="P12" s="73"/>
      <c r="Q12" s="73"/>
      <c r="R12" s="73"/>
      <c r="S12" s="73"/>
      <c r="T12" s="73"/>
    </row>
    <row r="13" spans="2:20" ht="20.100000000000001" customHeight="1" x14ac:dyDescent="0.2">
      <c r="B13" s="63"/>
      <c r="C13" s="64"/>
      <c r="D13" s="99"/>
      <c r="E13" s="186">
        <v>85</v>
      </c>
      <c r="F13" s="71" t="s">
        <v>12</v>
      </c>
      <c r="G13" s="70" t="s">
        <v>195</v>
      </c>
      <c r="H13" s="72">
        <v>400</v>
      </c>
      <c r="I13" s="72">
        <v>12</v>
      </c>
      <c r="J13" s="73">
        <f t="shared" si="1"/>
        <v>408000</v>
      </c>
      <c r="K13" s="143">
        <f>SUM(J9:J13)</f>
        <v>3946290</v>
      </c>
      <c r="L13" s="26">
        <v>4</v>
      </c>
      <c r="N13" s="71"/>
      <c r="O13" s="71"/>
      <c r="P13" s="73"/>
      <c r="Q13" s="73"/>
      <c r="R13" s="70"/>
      <c r="S13" s="70"/>
      <c r="T13" s="70"/>
    </row>
    <row r="14" spans="2:20" ht="20.100000000000001" customHeight="1" x14ac:dyDescent="0.2">
      <c r="B14" s="60"/>
      <c r="E14" s="19"/>
      <c r="K14" s="62"/>
      <c r="N14" s="198" t="s">
        <v>141</v>
      </c>
      <c r="O14" s="199"/>
      <c r="P14" s="200"/>
      <c r="Q14" s="74">
        <f>SUM(Q7:Q13)</f>
        <v>6001500</v>
      </c>
      <c r="R14" s="74">
        <f>SUM(R7:R13)</f>
        <v>5358482.1428571418</v>
      </c>
      <c r="S14" s="74">
        <f>SUM(S7:S13)</f>
        <v>53584.82142857142</v>
      </c>
      <c r="T14" s="74">
        <f>SUM(T7:T13)</f>
        <v>5947915.1785714282</v>
      </c>
    </row>
    <row r="15" spans="2:20" ht="20.100000000000001" customHeight="1" x14ac:dyDescent="0.2">
      <c r="B15" s="69">
        <v>46129</v>
      </c>
      <c r="C15" s="70" t="s">
        <v>13</v>
      </c>
      <c r="D15" s="71">
        <v>14625</v>
      </c>
      <c r="E15" s="185">
        <v>600</v>
      </c>
      <c r="F15" s="71" t="s">
        <v>12</v>
      </c>
      <c r="G15" s="70" t="s">
        <v>31</v>
      </c>
      <c r="H15" s="72">
        <v>199</v>
      </c>
      <c r="I15" s="72">
        <v>12</v>
      </c>
      <c r="J15" s="73">
        <f t="shared" ref="J15:J16" si="2">E15*H15*I15</f>
        <v>1432800</v>
      </c>
      <c r="K15" s="74"/>
    </row>
    <row r="16" spans="2:20" ht="20.100000000000001" customHeight="1" x14ac:dyDescent="0.2">
      <c r="B16" s="63"/>
      <c r="C16" s="64"/>
      <c r="D16" s="99"/>
      <c r="E16" s="185">
        <v>500</v>
      </c>
      <c r="F16" s="71" t="s">
        <v>12</v>
      </c>
      <c r="G16" s="70" t="s">
        <v>33</v>
      </c>
      <c r="H16" s="72">
        <v>708.75</v>
      </c>
      <c r="I16" s="72">
        <v>6</v>
      </c>
      <c r="J16" s="73">
        <f t="shared" si="2"/>
        <v>2126250</v>
      </c>
      <c r="K16" s="74">
        <f>SUM(J15:J16)</f>
        <v>3559050</v>
      </c>
      <c r="L16" s="26">
        <v>4</v>
      </c>
      <c r="P16" s="29" t="s">
        <v>143</v>
      </c>
      <c r="Q16" s="57">
        <f>Q14</f>
        <v>6001500</v>
      </c>
    </row>
    <row r="17" spans="2:17" ht="20.100000000000001" customHeight="1" x14ac:dyDescent="0.2">
      <c r="B17" s="60"/>
      <c r="E17" s="19"/>
      <c r="K17" s="62"/>
      <c r="P17" s="29" t="s">
        <v>144</v>
      </c>
      <c r="Q17" s="57">
        <v>14995080</v>
      </c>
    </row>
    <row r="18" spans="2:17" ht="20.100000000000001" customHeight="1" thickBot="1" x14ac:dyDescent="0.25">
      <c r="B18" s="69">
        <v>46129</v>
      </c>
      <c r="C18" s="70" t="s">
        <v>13</v>
      </c>
      <c r="D18" s="71">
        <v>14626</v>
      </c>
      <c r="E18" s="185">
        <v>400</v>
      </c>
      <c r="F18" s="71" t="s">
        <v>12</v>
      </c>
      <c r="G18" s="70" t="s">
        <v>31</v>
      </c>
      <c r="H18" s="72">
        <v>199</v>
      </c>
      <c r="I18" s="72">
        <v>12</v>
      </c>
      <c r="J18" s="73">
        <f t="shared" ref="J18" si="3">E18*H18*I18</f>
        <v>955200</v>
      </c>
      <c r="K18" s="173">
        <f>SUM(J18:J18)</f>
        <v>955200</v>
      </c>
      <c r="L18" s="26">
        <v>1</v>
      </c>
      <c r="Q18" s="180">
        <f>Q16/Q17</f>
        <v>0.40023127585848156</v>
      </c>
    </row>
    <row r="19" spans="2:17" ht="20.100000000000001" customHeight="1" thickTop="1" x14ac:dyDescent="0.2">
      <c r="B19" s="60"/>
      <c r="E19" s="19"/>
      <c r="K19" s="62"/>
    </row>
    <row r="20" spans="2:17" ht="20.100000000000001" customHeight="1" x14ac:dyDescent="0.2">
      <c r="B20" s="69">
        <v>46132</v>
      </c>
      <c r="C20" s="70" t="s">
        <v>72</v>
      </c>
      <c r="D20" s="71">
        <v>20482</v>
      </c>
      <c r="E20" s="185">
        <v>500</v>
      </c>
      <c r="F20" s="71" t="s">
        <v>12</v>
      </c>
      <c r="G20" s="70" t="s">
        <v>176</v>
      </c>
      <c r="H20" s="72">
        <v>150</v>
      </c>
      <c r="I20" s="72">
        <v>12</v>
      </c>
      <c r="J20" s="73">
        <f t="shared" ref="J20" si="4">E20*H20*I20</f>
        <v>900000</v>
      </c>
      <c r="K20" s="143">
        <f>SUM(J20:J20)</f>
        <v>900000</v>
      </c>
      <c r="L20" s="26">
        <v>1</v>
      </c>
    </row>
    <row r="21" spans="2:17" ht="20.100000000000001" customHeight="1" x14ac:dyDescent="0.2">
      <c r="B21" s="60"/>
      <c r="E21" s="19"/>
      <c r="K21" s="62"/>
    </row>
    <row r="22" spans="2:17" ht="20.100000000000001" customHeight="1" x14ac:dyDescent="0.2">
      <c r="B22" s="69">
        <v>46135</v>
      </c>
      <c r="C22" s="70" t="s">
        <v>13</v>
      </c>
      <c r="D22" s="71">
        <v>14628</v>
      </c>
      <c r="E22" s="185">
        <v>600</v>
      </c>
      <c r="F22" s="71" t="s">
        <v>12</v>
      </c>
      <c r="G22" s="70" t="s">
        <v>33</v>
      </c>
      <c r="H22" s="72">
        <v>708.75</v>
      </c>
      <c r="I22" s="72">
        <v>6</v>
      </c>
      <c r="J22" s="73">
        <f t="shared" ref="J22:J23" si="5">E22*H22*I22</f>
        <v>2551500</v>
      </c>
      <c r="K22" s="74"/>
    </row>
    <row r="23" spans="2:17" ht="20.100000000000001" customHeight="1" x14ac:dyDescent="0.2">
      <c r="B23" s="63"/>
      <c r="C23" s="64"/>
      <c r="D23" s="99"/>
      <c r="E23" s="185">
        <v>500</v>
      </c>
      <c r="F23" s="71" t="s">
        <v>12</v>
      </c>
      <c r="G23" s="70" t="s">
        <v>14</v>
      </c>
      <c r="H23" s="72">
        <v>395</v>
      </c>
      <c r="I23" s="72">
        <v>12</v>
      </c>
      <c r="J23" s="73">
        <f t="shared" si="5"/>
        <v>2370000</v>
      </c>
      <c r="K23" s="173">
        <f>SUM(J22:J23)</f>
        <v>4921500</v>
      </c>
      <c r="L23" s="26">
        <v>5</v>
      </c>
    </row>
    <row r="24" spans="2:17" ht="20.100000000000001" customHeight="1" x14ac:dyDescent="0.2">
      <c r="B24" s="60"/>
      <c r="E24" s="19"/>
      <c r="K24" s="61"/>
    </row>
    <row r="25" spans="2:17" ht="20.100000000000001" customHeight="1" x14ac:dyDescent="0.2">
      <c r="B25" s="69">
        <v>46142</v>
      </c>
      <c r="C25" s="70" t="s">
        <v>60</v>
      </c>
      <c r="D25" s="71" t="s">
        <v>196</v>
      </c>
      <c r="E25" s="148">
        <v>421</v>
      </c>
      <c r="F25" s="71" t="s">
        <v>12</v>
      </c>
      <c r="G25" s="70" t="s">
        <v>133</v>
      </c>
      <c r="H25" s="72">
        <v>160</v>
      </c>
      <c r="I25" s="72">
        <v>12</v>
      </c>
      <c r="J25" s="73">
        <f t="shared" ref="J25:J27" si="6">E25*H25*I25</f>
        <v>808320</v>
      </c>
      <c r="K25" s="74"/>
    </row>
    <row r="26" spans="2:17" ht="20.100000000000001" customHeight="1" x14ac:dyDescent="0.2">
      <c r="B26" s="63"/>
      <c r="C26" s="64"/>
      <c r="D26" s="99"/>
      <c r="E26" s="148">
        <v>8</v>
      </c>
      <c r="F26" s="71" t="s">
        <v>197</v>
      </c>
      <c r="G26" s="70" t="s">
        <v>133</v>
      </c>
      <c r="H26" s="72">
        <v>160</v>
      </c>
      <c r="I26" s="72">
        <v>1</v>
      </c>
      <c r="J26" s="73">
        <f t="shared" si="6"/>
        <v>1280</v>
      </c>
      <c r="K26" s="74"/>
    </row>
    <row r="27" spans="2:17" ht="20.100000000000001" customHeight="1" x14ac:dyDescent="0.2">
      <c r="B27" s="63"/>
      <c r="C27" s="64"/>
      <c r="D27" s="99"/>
      <c r="E27" s="148">
        <v>100</v>
      </c>
      <c r="F27" s="71" t="s">
        <v>12</v>
      </c>
      <c r="G27" s="70" t="s">
        <v>90</v>
      </c>
      <c r="H27" s="72">
        <v>180</v>
      </c>
      <c r="I27" s="72">
        <v>12</v>
      </c>
      <c r="J27" s="73">
        <f t="shared" si="6"/>
        <v>216000</v>
      </c>
      <c r="K27" s="143">
        <f>SUM(J25:J27)</f>
        <v>1025600</v>
      </c>
      <c r="L27" s="26">
        <v>1</v>
      </c>
    </row>
    <row r="28" spans="2:17" ht="20.100000000000001" customHeight="1" x14ac:dyDescent="0.2">
      <c r="B28" s="60"/>
      <c r="E28" s="19"/>
      <c r="K28" s="61"/>
    </row>
    <row r="29" spans="2:17" ht="20.100000000000001" customHeight="1" thickBot="1" x14ac:dyDescent="0.25">
      <c r="B29" s="79"/>
      <c r="C29" s="80"/>
      <c r="D29" s="81"/>
      <c r="E29" s="81"/>
      <c r="F29" s="81"/>
      <c r="G29" s="80"/>
      <c r="H29" s="82"/>
      <c r="I29" s="83" t="s">
        <v>70</v>
      </c>
      <c r="J29" s="90">
        <f>SUM(J7:J27)</f>
        <v>15432440</v>
      </c>
      <c r="K29" s="78">
        <f>J29-K7-K13-K16-K18-K23-K20-K27</f>
        <v>0</v>
      </c>
    </row>
    <row r="30" spans="2:17" ht="20.100000000000001" customHeight="1" thickTop="1" x14ac:dyDescent="0.2"/>
    <row r="32" spans="2:17" ht="20.100000000000001" customHeight="1" x14ac:dyDescent="0.2">
      <c r="B32" s="59" t="s">
        <v>25</v>
      </c>
      <c r="F32" s="28" t="s">
        <v>26</v>
      </c>
    </row>
    <row r="33" spans="1:20" ht="20.100000000000001" customHeight="1" x14ac:dyDescent="0.2">
      <c r="C33" s="26" t="s">
        <v>27</v>
      </c>
      <c r="G33" s="26" t="s">
        <v>35</v>
      </c>
    </row>
    <row r="38" spans="1:20" ht="20.100000000000001" customHeight="1" x14ac:dyDescent="0.2">
      <c r="B38" s="84" t="s">
        <v>23</v>
      </c>
    </row>
    <row r="39" spans="1:20" ht="20.100000000000001" customHeight="1" x14ac:dyDescent="0.2">
      <c r="B39" s="84" t="s">
        <v>1</v>
      </c>
    </row>
    <row r="40" spans="1:20" ht="20.100000000000001" customHeight="1" x14ac:dyDescent="0.2">
      <c r="B40" s="84" t="s">
        <v>191</v>
      </c>
    </row>
    <row r="42" spans="1:20" ht="20.100000000000001" customHeight="1" x14ac:dyDescent="0.2">
      <c r="B42" s="66" t="s">
        <v>2</v>
      </c>
      <c r="C42" s="67" t="s">
        <v>3</v>
      </c>
      <c r="D42" s="67" t="s">
        <v>4</v>
      </c>
      <c r="E42" s="67" t="s">
        <v>21</v>
      </c>
      <c r="F42" s="67" t="s">
        <v>6</v>
      </c>
      <c r="G42" s="67" t="s">
        <v>7</v>
      </c>
      <c r="H42" s="68" t="s">
        <v>8</v>
      </c>
      <c r="I42" s="68" t="s">
        <v>9</v>
      </c>
      <c r="J42" s="68" t="s">
        <v>10</v>
      </c>
      <c r="K42" s="68" t="s">
        <v>22</v>
      </c>
    </row>
    <row r="43" spans="1:20" ht="20.100000000000001" customHeight="1" x14ac:dyDescent="0.2">
      <c r="B43" s="60"/>
      <c r="K43" s="61"/>
      <c r="R43" s="57"/>
      <c r="S43" s="57"/>
      <c r="T43" s="57"/>
    </row>
    <row r="44" spans="1:20" ht="18.75" customHeight="1" x14ac:dyDescent="0.2">
      <c r="A44" s="29"/>
      <c r="B44" s="69">
        <v>46127</v>
      </c>
      <c r="C44" s="70" t="s">
        <v>13</v>
      </c>
      <c r="D44" s="71">
        <v>14620</v>
      </c>
      <c r="E44" s="71">
        <v>170</v>
      </c>
      <c r="F44" s="71" t="s">
        <v>12</v>
      </c>
      <c r="G44" s="70" t="s">
        <v>112</v>
      </c>
      <c r="H44" s="72">
        <v>273</v>
      </c>
      <c r="I44" s="86">
        <v>24</v>
      </c>
      <c r="J44" s="138">
        <f>E44*H44*I44</f>
        <v>1113840</v>
      </c>
      <c r="K44" s="85"/>
      <c r="R44" s="57"/>
      <c r="S44" s="57"/>
      <c r="T44" s="57"/>
    </row>
    <row r="45" spans="1:20" ht="20.100000000000001" customHeight="1" x14ac:dyDescent="0.2">
      <c r="A45" s="29"/>
      <c r="B45" s="63"/>
      <c r="C45" s="64"/>
      <c r="D45" s="65"/>
      <c r="E45" s="71">
        <v>150</v>
      </c>
      <c r="F45" s="71" t="s">
        <v>12</v>
      </c>
      <c r="G45" s="70" t="s">
        <v>193</v>
      </c>
      <c r="H45" s="139">
        <v>208</v>
      </c>
      <c r="I45" s="139">
        <v>12</v>
      </c>
      <c r="J45" s="138">
        <f>E45*H45*I45</f>
        <v>374400</v>
      </c>
      <c r="K45" s="74">
        <f>SUM(J44:J45)</f>
        <v>1488240</v>
      </c>
      <c r="L45" s="26">
        <v>2</v>
      </c>
      <c r="M45" s="57"/>
      <c r="N45" s="57"/>
    </row>
    <row r="46" spans="1:20" ht="20.100000000000001" customHeight="1" x14ac:dyDescent="0.2">
      <c r="B46" s="60"/>
      <c r="K46" s="61"/>
      <c r="R46" s="57"/>
      <c r="S46" s="57"/>
      <c r="T46" s="57"/>
    </row>
    <row r="47" spans="1:20" ht="20.100000000000001" customHeight="1" thickBot="1" x14ac:dyDescent="0.25">
      <c r="B47" s="79"/>
      <c r="C47" s="80"/>
      <c r="D47" s="81"/>
      <c r="E47" s="81"/>
      <c r="F47" s="81"/>
      <c r="G47" s="80"/>
      <c r="H47" s="82"/>
      <c r="I47" s="83" t="s">
        <v>71</v>
      </c>
      <c r="J47" s="90">
        <f>SUM(J43:J46)</f>
        <v>1488240</v>
      </c>
      <c r="K47" s="78">
        <f>J47-K45</f>
        <v>0</v>
      </c>
      <c r="R47" s="57"/>
      <c r="S47" s="57"/>
      <c r="T47" s="57"/>
    </row>
    <row r="48" spans="1:20" s="57" customFormat="1" ht="20.100000000000001" customHeight="1" thickTop="1" x14ac:dyDescent="0.2">
      <c r="A48" s="26"/>
      <c r="B48" s="59"/>
      <c r="C48" s="26"/>
      <c r="D48" s="29"/>
      <c r="E48" s="29"/>
      <c r="F48" s="29"/>
      <c r="G48" s="26"/>
      <c r="H48" s="58"/>
      <c r="I48" s="58"/>
      <c r="L48" s="26"/>
      <c r="M48" s="26"/>
      <c r="N48" s="26"/>
      <c r="O48" s="26"/>
      <c r="P48" s="26"/>
      <c r="Q48" s="26"/>
      <c r="R48" s="26"/>
      <c r="S48" s="26"/>
      <c r="T48" s="26"/>
    </row>
    <row r="49" spans="1:20" s="57" customFormat="1" ht="20.100000000000001" customHeight="1" x14ac:dyDescent="0.2">
      <c r="A49" s="26"/>
      <c r="B49" s="59"/>
      <c r="C49" s="26"/>
      <c r="D49" s="29"/>
      <c r="E49" s="29"/>
      <c r="F49" s="29"/>
      <c r="G49" s="26"/>
      <c r="H49" s="58"/>
      <c r="I49" s="58"/>
      <c r="L49" s="26"/>
      <c r="M49" s="26"/>
      <c r="N49" s="26"/>
      <c r="O49" s="26"/>
      <c r="P49" s="26"/>
      <c r="Q49" s="26"/>
      <c r="R49" s="26"/>
      <c r="S49" s="26"/>
      <c r="T49" s="26"/>
    </row>
    <row r="50" spans="1:20" ht="20.100000000000001" customHeight="1" x14ac:dyDescent="0.2">
      <c r="J50" s="57">
        <f>J29+J47</f>
        <v>16920680</v>
      </c>
      <c r="M50" s="57">
        <f>K13+K44</f>
        <v>3946290</v>
      </c>
    </row>
    <row r="51" spans="1:20" s="57" customFormat="1" ht="20.100000000000001" customHeight="1" x14ac:dyDescent="0.2">
      <c r="A51" s="26"/>
      <c r="B51" s="59" t="s">
        <v>25</v>
      </c>
      <c r="C51" s="26"/>
      <c r="D51" s="29"/>
      <c r="E51" s="29"/>
      <c r="F51" s="28" t="s">
        <v>26</v>
      </c>
      <c r="G51" s="26"/>
      <c r="H51" s="58"/>
      <c r="I51" s="58"/>
      <c r="L51" s="26"/>
      <c r="M51" s="26"/>
      <c r="N51" s="26"/>
      <c r="O51" s="26"/>
      <c r="P51" s="26"/>
      <c r="Q51" s="26"/>
      <c r="R51" s="26"/>
      <c r="S51" s="26"/>
      <c r="T51" s="26"/>
    </row>
    <row r="52" spans="1:20" s="57" customFormat="1" ht="20.100000000000001" customHeight="1" x14ac:dyDescent="0.2">
      <c r="A52" s="26"/>
      <c r="B52" s="59"/>
      <c r="C52" s="26" t="s">
        <v>27</v>
      </c>
      <c r="D52" s="29"/>
      <c r="E52" s="29"/>
      <c r="F52" s="29"/>
      <c r="G52" s="26" t="s">
        <v>35</v>
      </c>
      <c r="H52" s="58"/>
      <c r="I52" s="58"/>
      <c r="L52" s="26"/>
      <c r="M52" s="179">
        <f>M50/J50</f>
        <v>0.23322289647933772</v>
      </c>
      <c r="N52" s="26"/>
      <c r="O52" s="26"/>
      <c r="P52" s="26"/>
      <c r="Q52" s="26"/>
      <c r="R52" s="26"/>
      <c r="S52" s="26"/>
      <c r="T52" s="26"/>
    </row>
  </sheetData>
  <mergeCells count="1">
    <mergeCell ref="N14:P14"/>
  </mergeCells>
  <printOptions gridLines="1"/>
  <pageMargins left="0.7" right="0.7" top="0.75" bottom="0.75" header="0.3" footer="0.3"/>
  <pageSetup scale="56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8D51-16C2-4EF6-917F-BCF5BF22783E}">
  <sheetPr codeName="Sheet6">
    <pageSetUpPr fitToPage="1"/>
  </sheetPr>
  <dimension ref="A1:X49"/>
  <sheetViews>
    <sheetView zoomScale="85" zoomScaleNormal="85" workbookViewId="0">
      <selection activeCell="G7" sqref="G7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4.42578125" style="26" customWidth="1"/>
    <col min="4" max="4" width="13" style="29" customWidth="1"/>
    <col min="5" max="6" width="9.140625" style="29"/>
    <col min="7" max="7" width="62.85546875" style="26" bestFit="1" customWidth="1"/>
    <col min="8" max="8" width="14.28515625" style="58" bestFit="1" customWidth="1"/>
    <col min="9" max="9" width="9.140625" style="58"/>
    <col min="10" max="10" width="18.140625" style="57" bestFit="1" customWidth="1"/>
    <col min="11" max="11" width="17" style="57" bestFit="1" customWidth="1"/>
    <col min="12" max="12" width="9.140625" style="26"/>
    <col min="13" max="13" width="14.42578125" style="26" bestFit="1" customWidth="1"/>
    <col min="14" max="14" width="9.140625" style="26"/>
    <col min="15" max="15" width="15.5703125" style="26" hidden="1" customWidth="1"/>
    <col min="16" max="16" width="0" style="26" hidden="1" customWidth="1"/>
    <col min="17" max="17" width="11" style="26" bestFit="1" customWidth="1"/>
    <col min="18" max="18" width="16.7109375" style="26" customWidth="1"/>
    <col min="19" max="19" width="9.140625" style="26"/>
    <col min="20" max="20" width="13.7109375" style="26" customWidth="1"/>
    <col min="21" max="21" width="17.5703125" style="26" bestFit="1" customWidth="1"/>
    <col min="22" max="22" width="16" style="26" bestFit="1" customWidth="1"/>
    <col min="23" max="23" width="12.85546875" style="26" bestFit="1" customWidth="1"/>
    <col min="24" max="24" width="16" style="26" bestFit="1" customWidth="1"/>
    <col min="25" max="16384" width="9.140625" style="26"/>
  </cols>
  <sheetData>
    <row r="1" spans="2:24" ht="20.100000000000001" customHeight="1" x14ac:dyDescent="0.2">
      <c r="B1" s="84" t="s">
        <v>24</v>
      </c>
    </row>
    <row r="2" spans="2:24" ht="20.100000000000001" customHeight="1" x14ac:dyDescent="0.2">
      <c r="B2" s="84" t="s">
        <v>1</v>
      </c>
    </row>
    <row r="3" spans="2:24" ht="20.100000000000001" customHeight="1" x14ac:dyDescent="0.2">
      <c r="B3" s="84" t="s">
        <v>198</v>
      </c>
    </row>
    <row r="5" spans="2:24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  <c r="R5" s="176" t="s">
        <v>199</v>
      </c>
      <c r="S5" s="26"/>
      <c r="T5" s="26"/>
      <c r="U5" s="26"/>
      <c r="V5" s="26"/>
      <c r="W5" s="26"/>
      <c r="X5" s="26"/>
    </row>
    <row r="6" spans="2:24" ht="20.100000000000001" customHeight="1" x14ac:dyDescent="0.2">
      <c r="B6" s="60"/>
      <c r="K6" s="61"/>
      <c r="R6" s="29"/>
      <c r="S6" s="29"/>
      <c r="T6" s="29"/>
      <c r="U6" s="29"/>
      <c r="V6" s="29"/>
      <c r="W6" s="29"/>
      <c r="X6" s="29"/>
    </row>
    <row r="7" spans="2:24" ht="20.100000000000001" customHeight="1" x14ac:dyDescent="0.2">
      <c r="B7" s="69">
        <v>46155</v>
      </c>
      <c r="C7" s="70" t="s">
        <v>72</v>
      </c>
      <c r="D7" s="71">
        <v>20599</v>
      </c>
      <c r="E7" s="71">
        <v>100</v>
      </c>
      <c r="F7" s="71" t="s">
        <v>12</v>
      </c>
      <c r="G7" s="70" t="s">
        <v>200</v>
      </c>
      <c r="H7" s="72">
        <v>127.5</v>
      </c>
      <c r="I7" s="72">
        <v>12</v>
      </c>
      <c r="J7" s="73">
        <f>I7*H7*E7</f>
        <v>153000</v>
      </c>
      <c r="K7" s="143">
        <f>J7</f>
        <v>153000</v>
      </c>
      <c r="M7" s="26">
        <v>1</v>
      </c>
      <c r="O7" s="57"/>
      <c r="R7" s="67" t="s">
        <v>2</v>
      </c>
      <c r="S7" s="67" t="s">
        <v>136</v>
      </c>
      <c r="T7" s="67" t="s">
        <v>137</v>
      </c>
      <c r="U7" s="67" t="s">
        <v>138</v>
      </c>
      <c r="V7" s="67"/>
      <c r="W7" s="67" t="s">
        <v>139</v>
      </c>
      <c r="X7" s="67" t="s">
        <v>140</v>
      </c>
    </row>
    <row r="8" spans="2:24" ht="20.100000000000001" customHeight="1" x14ac:dyDescent="0.2">
      <c r="B8" s="60"/>
      <c r="K8" s="61"/>
      <c r="M8" s="57"/>
      <c r="O8" s="26">
        <f>26727.05/10/8</f>
        <v>334.08812499999999</v>
      </c>
      <c r="P8" s="26" t="s">
        <v>135</v>
      </c>
      <c r="R8" s="69">
        <v>46161</v>
      </c>
      <c r="S8" s="71">
        <v>14647</v>
      </c>
      <c r="T8" s="73"/>
      <c r="U8" s="73">
        <v>3779400</v>
      </c>
      <c r="V8" s="73">
        <f>U8/1.12</f>
        <v>3374464.2857142854</v>
      </c>
      <c r="W8" s="73">
        <f>V8*0.01</f>
        <v>33744.642857142855</v>
      </c>
      <c r="X8" s="73">
        <f>U8-W8</f>
        <v>3745655.3571428573</v>
      </c>
    </row>
    <row r="9" spans="2:24" ht="20.100000000000001" customHeight="1" x14ac:dyDescent="0.2">
      <c r="B9" s="69">
        <v>46155</v>
      </c>
      <c r="C9" s="70" t="s">
        <v>72</v>
      </c>
      <c r="D9" s="71">
        <v>20600</v>
      </c>
      <c r="E9" s="71">
        <v>250</v>
      </c>
      <c r="F9" s="71" t="s">
        <v>12</v>
      </c>
      <c r="G9" s="70" t="s">
        <v>201</v>
      </c>
      <c r="H9" s="72">
        <v>445</v>
      </c>
      <c r="I9" s="72">
        <v>6</v>
      </c>
      <c r="J9" s="73">
        <f t="shared" ref="J9" si="0">E9*H9*I9</f>
        <v>667500</v>
      </c>
      <c r="K9" s="74">
        <f>J9</f>
        <v>667500</v>
      </c>
      <c r="M9" s="26">
        <v>1</v>
      </c>
      <c r="R9" s="69"/>
      <c r="S9" s="71"/>
      <c r="T9" s="73"/>
      <c r="U9" s="73"/>
      <c r="V9" s="70"/>
      <c r="W9" s="70"/>
      <c r="X9" s="70"/>
    </row>
    <row r="10" spans="2:24" ht="20.100000000000001" customHeight="1" x14ac:dyDescent="0.2">
      <c r="B10" s="60"/>
      <c r="K10" s="62"/>
      <c r="R10" s="69">
        <v>46161</v>
      </c>
      <c r="S10" s="71">
        <v>14648</v>
      </c>
      <c r="T10" s="73"/>
      <c r="U10" s="73">
        <v>124800</v>
      </c>
      <c r="V10" s="73">
        <f>U10/1.12</f>
        <v>111428.57142857142</v>
      </c>
      <c r="W10" s="73">
        <f>V10*0.01</f>
        <v>1114.2857142857142</v>
      </c>
      <c r="X10" s="73">
        <f>U10-W10</f>
        <v>123685.71428571429</v>
      </c>
    </row>
    <row r="11" spans="2:24" ht="20.100000000000001" customHeight="1" x14ac:dyDescent="0.2">
      <c r="B11" s="69">
        <v>46155</v>
      </c>
      <c r="C11" s="70" t="s">
        <v>72</v>
      </c>
      <c r="D11" s="71">
        <v>20607</v>
      </c>
      <c r="E11" s="71">
        <v>100</v>
      </c>
      <c r="F11" s="71" t="s">
        <v>12</v>
      </c>
      <c r="G11" s="70" t="s">
        <v>200</v>
      </c>
      <c r="H11" s="72">
        <v>127.5</v>
      </c>
      <c r="I11" s="72">
        <v>12</v>
      </c>
      <c r="J11" s="73">
        <f t="shared" ref="J11" si="1">E11*H11*I11</f>
        <v>153000</v>
      </c>
      <c r="K11" s="74">
        <f>J11</f>
        <v>153000</v>
      </c>
      <c r="M11" s="57">
        <v>1</v>
      </c>
      <c r="R11" s="69"/>
      <c r="S11" s="71"/>
      <c r="T11" s="73"/>
      <c r="U11" s="73"/>
      <c r="V11" s="73"/>
      <c r="W11" s="73"/>
      <c r="X11" s="73"/>
    </row>
    <row r="12" spans="2:24" ht="20.100000000000001" customHeight="1" x14ac:dyDescent="0.2">
      <c r="B12" s="60"/>
      <c r="K12" s="62"/>
      <c r="M12" s="57"/>
      <c r="O12" s="26" t="s">
        <v>135</v>
      </c>
      <c r="R12" s="69">
        <v>46171</v>
      </c>
      <c r="S12" s="71">
        <v>14662</v>
      </c>
      <c r="T12" s="73"/>
      <c r="U12" s="73">
        <v>196560</v>
      </c>
      <c r="V12" s="73">
        <f>U12/1.12</f>
        <v>175499.99999999997</v>
      </c>
      <c r="W12" s="73">
        <f>V12*0.01</f>
        <v>1754.9999999999998</v>
      </c>
      <c r="X12" s="73">
        <f>U12-W12</f>
        <v>194805</v>
      </c>
    </row>
    <row r="13" spans="2:24" ht="20.100000000000001" customHeight="1" x14ac:dyDescent="0.2">
      <c r="B13" s="69">
        <v>46155</v>
      </c>
      <c r="C13" s="70" t="s">
        <v>72</v>
      </c>
      <c r="D13" s="71">
        <v>20608</v>
      </c>
      <c r="E13" s="71">
        <v>250</v>
      </c>
      <c r="F13" s="71" t="s">
        <v>12</v>
      </c>
      <c r="G13" s="70" t="s">
        <v>201</v>
      </c>
      <c r="H13" s="72">
        <v>445</v>
      </c>
      <c r="I13" s="72">
        <v>6</v>
      </c>
      <c r="J13" s="73">
        <f t="shared" ref="J13" si="2">E13*H13*I13</f>
        <v>667500</v>
      </c>
      <c r="K13" s="74">
        <f>J13</f>
        <v>667500</v>
      </c>
      <c r="M13" s="57">
        <v>1</v>
      </c>
      <c r="R13" s="69"/>
      <c r="S13" s="71"/>
      <c r="T13" s="73"/>
      <c r="U13" s="73"/>
      <c r="V13" s="73"/>
      <c r="W13" s="73"/>
      <c r="X13" s="73"/>
    </row>
    <row r="14" spans="2:24" ht="20.100000000000001" customHeight="1" x14ac:dyDescent="0.2">
      <c r="B14" s="60"/>
      <c r="K14" s="62"/>
      <c r="M14" s="57"/>
      <c r="R14" s="69"/>
      <c r="S14" s="71"/>
      <c r="T14" s="73"/>
      <c r="U14" s="73"/>
      <c r="V14" s="73"/>
      <c r="W14" s="73"/>
      <c r="X14" s="73"/>
    </row>
    <row r="15" spans="2:24" ht="20.100000000000001" customHeight="1" x14ac:dyDescent="0.2">
      <c r="B15" s="69">
        <v>46156</v>
      </c>
      <c r="C15" s="70" t="s">
        <v>72</v>
      </c>
      <c r="D15" s="71">
        <v>20613</v>
      </c>
      <c r="E15" s="71">
        <v>500</v>
      </c>
      <c r="F15" s="71" t="s">
        <v>12</v>
      </c>
      <c r="G15" s="70" t="s">
        <v>202</v>
      </c>
      <c r="H15" s="72">
        <v>150</v>
      </c>
      <c r="I15" s="72">
        <v>12</v>
      </c>
      <c r="J15" s="73">
        <f t="shared" ref="J15" si="3">E15*H15*I15</f>
        <v>900000</v>
      </c>
      <c r="K15" s="74">
        <f>J15</f>
        <v>900000</v>
      </c>
      <c r="M15" s="57">
        <v>1</v>
      </c>
      <c r="R15" s="71"/>
      <c r="S15" s="71"/>
      <c r="T15" s="73"/>
      <c r="U15" s="73"/>
      <c r="V15" s="70"/>
      <c r="W15" s="70"/>
      <c r="X15" s="70"/>
    </row>
    <row r="16" spans="2:24" ht="20.100000000000001" customHeight="1" x14ac:dyDescent="0.2">
      <c r="B16" s="60"/>
      <c r="F16" s="71"/>
      <c r="K16" s="62"/>
      <c r="M16" s="57"/>
      <c r="O16" s="26" t="s">
        <v>135</v>
      </c>
      <c r="R16" s="198" t="s">
        <v>141</v>
      </c>
      <c r="S16" s="199"/>
      <c r="T16" s="200"/>
      <c r="U16" s="74">
        <f>SUM(U8:U15)</f>
        <v>4100760</v>
      </c>
      <c r="V16" s="74">
        <f>SUM(V8:V15)</f>
        <v>3661392.8571428568</v>
      </c>
      <c r="W16" s="74">
        <f>SUM(W8:W15)</f>
        <v>36613.928571428572</v>
      </c>
      <c r="X16" s="74">
        <f>SUM(X8:X15)</f>
        <v>4064146.0714285714</v>
      </c>
    </row>
    <row r="17" spans="2:21" ht="20.100000000000001" customHeight="1" x14ac:dyDescent="0.2">
      <c r="B17" s="69">
        <v>46161</v>
      </c>
      <c r="C17" s="70" t="s">
        <v>13</v>
      </c>
      <c r="D17" s="71">
        <v>14647</v>
      </c>
      <c r="E17" s="71">
        <v>500</v>
      </c>
      <c r="F17" s="71" t="s">
        <v>12</v>
      </c>
      <c r="G17" s="70" t="s">
        <v>14</v>
      </c>
      <c r="H17" s="72">
        <v>395</v>
      </c>
      <c r="I17" s="72">
        <v>12</v>
      </c>
      <c r="J17" s="73">
        <f t="shared" ref="J17:J19" si="4">E17*H17*I17</f>
        <v>2370000</v>
      </c>
      <c r="K17" s="74"/>
      <c r="M17" s="57"/>
    </row>
    <row r="18" spans="2:21" ht="20.100000000000001" customHeight="1" x14ac:dyDescent="0.2">
      <c r="B18" s="60"/>
      <c r="D18" s="136"/>
      <c r="E18" s="71">
        <v>300</v>
      </c>
      <c r="F18" s="71" t="s">
        <v>12</v>
      </c>
      <c r="G18" s="70" t="s">
        <v>183</v>
      </c>
      <c r="H18" s="72">
        <v>57.5</v>
      </c>
      <c r="I18" s="72">
        <v>60</v>
      </c>
      <c r="J18" s="73">
        <f t="shared" si="4"/>
        <v>1035000</v>
      </c>
      <c r="K18" s="74"/>
      <c r="M18" s="57"/>
      <c r="T18" s="29" t="s">
        <v>143</v>
      </c>
      <c r="U18" s="57">
        <f>U16</f>
        <v>4100760</v>
      </c>
    </row>
    <row r="19" spans="2:21" ht="20.100000000000001" customHeight="1" x14ac:dyDescent="0.2">
      <c r="B19" s="63"/>
      <c r="C19" s="64"/>
      <c r="D19" s="99"/>
      <c r="E19" s="71">
        <v>150</v>
      </c>
      <c r="F19" s="71" t="s">
        <v>12</v>
      </c>
      <c r="G19" s="70" t="s">
        <v>120</v>
      </c>
      <c r="H19" s="72">
        <v>208</v>
      </c>
      <c r="I19" s="72">
        <v>12</v>
      </c>
      <c r="J19" s="73">
        <f t="shared" si="4"/>
        <v>374400</v>
      </c>
      <c r="K19" s="173">
        <f>SUM(J17:J19)</f>
        <v>3779400</v>
      </c>
      <c r="M19" s="57">
        <v>4</v>
      </c>
      <c r="O19" s="26" t="s">
        <v>135</v>
      </c>
      <c r="T19" s="29" t="s">
        <v>144</v>
      </c>
      <c r="U19" s="57">
        <v>9116760</v>
      </c>
    </row>
    <row r="20" spans="2:21" ht="20.100000000000001" customHeight="1" thickBot="1" x14ac:dyDescent="0.25">
      <c r="B20" s="60"/>
      <c r="K20" s="62"/>
      <c r="M20" s="57"/>
      <c r="U20" s="180">
        <f>U18/U19</f>
        <v>0.44980453582193675</v>
      </c>
    </row>
    <row r="21" spans="2:21" ht="20.100000000000001" customHeight="1" thickTop="1" x14ac:dyDescent="0.2">
      <c r="B21" s="69">
        <v>46171</v>
      </c>
      <c r="C21" s="70" t="s">
        <v>13</v>
      </c>
      <c r="D21" s="71">
        <v>14661</v>
      </c>
      <c r="E21" s="71">
        <v>500</v>
      </c>
      <c r="F21" s="71" t="s">
        <v>12</v>
      </c>
      <c r="G21" s="70" t="s">
        <v>14</v>
      </c>
      <c r="H21" s="72">
        <v>395</v>
      </c>
      <c r="I21" s="72">
        <v>12</v>
      </c>
      <c r="J21" s="73">
        <f t="shared" ref="J21:J23" si="5">E21*H21*I21</f>
        <v>2370000</v>
      </c>
      <c r="K21" s="77"/>
      <c r="M21" s="57"/>
    </row>
    <row r="22" spans="2:21" ht="20.100000000000001" customHeight="1" x14ac:dyDescent="0.2">
      <c r="B22" s="60"/>
      <c r="E22" s="71">
        <v>200</v>
      </c>
      <c r="F22" s="71" t="s">
        <v>12</v>
      </c>
      <c r="G22" s="70" t="s">
        <v>99</v>
      </c>
      <c r="H22" s="72">
        <v>787.5</v>
      </c>
      <c r="I22" s="72">
        <v>6</v>
      </c>
      <c r="J22" s="73">
        <f t="shared" si="5"/>
        <v>945000</v>
      </c>
      <c r="K22" s="77"/>
      <c r="M22" s="57"/>
    </row>
    <row r="23" spans="2:21" ht="20.100000000000001" customHeight="1" x14ac:dyDescent="0.2">
      <c r="B23" s="63"/>
      <c r="C23" s="64"/>
      <c r="D23" s="65"/>
      <c r="E23" s="71">
        <v>400</v>
      </c>
      <c r="F23" s="71" t="s">
        <v>12</v>
      </c>
      <c r="G23" s="70" t="s">
        <v>33</v>
      </c>
      <c r="H23" s="72">
        <v>708.75</v>
      </c>
      <c r="I23" s="72">
        <v>6</v>
      </c>
      <c r="J23" s="73">
        <f t="shared" si="5"/>
        <v>1701000</v>
      </c>
      <c r="K23" s="141">
        <f>SUM(J21:J23)</f>
        <v>5016000</v>
      </c>
      <c r="M23" s="57">
        <v>5</v>
      </c>
    </row>
    <row r="24" spans="2:21" ht="20.100000000000001" customHeight="1" x14ac:dyDescent="0.2">
      <c r="B24" s="60"/>
      <c r="K24" s="61"/>
    </row>
    <row r="25" spans="2:21" ht="20.100000000000001" customHeight="1" thickBot="1" x14ac:dyDescent="0.25">
      <c r="B25" s="79"/>
      <c r="C25" s="80"/>
      <c r="D25" s="81"/>
      <c r="E25" s="81"/>
      <c r="F25" s="81"/>
      <c r="G25" s="80"/>
      <c r="H25" s="82"/>
      <c r="I25" s="83" t="s">
        <v>74</v>
      </c>
      <c r="J25" s="90">
        <f>SUM(J7:J24)</f>
        <v>11336400</v>
      </c>
      <c r="K25" s="78">
        <f>J25-K9-K7-K19-K23-K11-K13-K15</f>
        <v>0</v>
      </c>
      <c r="M25" s="57"/>
      <c r="O25" s="57"/>
    </row>
    <row r="26" spans="2:21" ht="20.100000000000001" customHeight="1" thickTop="1" x14ac:dyDescent="0.2">
      <c r="O26" s="137"/>
      <c r="Q26" s="137"/>
    </row>
    <row r="28" spans="2:21" ht="20.100000000000001" customHeight="1" x14ac:dyDescent="0.2">
      <c r="B28" s="59" t="s">
        <v>25</v>
      </c>
      <c r="F28" s="28" t="s">
        <v>26</v>
      </c>
    </row>
    <row r="29" spans="2:21" ht="20.100000000000001" customHeight="1" x14ac:dyDescent="0.2">
      <c r="C29" s="26" t="s">
        <v>27</v>
      </c>
      <c r="G29" s="26" t="s">
        <v>35</v>
      </c>
    </row>
    <row r="34" spans="1:15" ht="20.100000000000001" customHeight="1" x14ac:dyDescent="0.2">
      <c r="B34" s="84" t="s">
        <v>23</v>
      </c>
    </row>
    <row r="35" spans="1:15" ht="20.100000000000001" customHeight="1" x14ac:dyDescent="0.2">
      <c r="B35" s="84" t="s">
        <v>1</v>
      </c>
    </row>
    <row r="36" spans="1:15" ht="20.100000000000001" customHeight="1" x14ac:dyDescent="0.2">
      <c r="B36" s="84" t="s">
        <v>198</v>
      </c>
    </row>
    <row r="37" spans="1:15" ht="18.75" customHeight="1" x14ac:dyDescent="0.2">
      <c r="A37" s="29"/>
    </row>
    <row r="38" spans="1:15" ht="20.100000000000001" customHeight="1" x14ac:dyDescent="0.2">
      <c r="A38" s="29"/>
      <c r="B38" s="66" t="s">
        <v>2</v>
      </c>
      <c r="C38" s="67" t="s">
        <v>3</v>
      </c>
      <c r="D38" s="67" t="s">
        <v>4</v>
      </c>
      <c r="E38" s="67" t="s">
        <v>21</v>
      </c>
      <c r="F38" s="67" t="s">
        <v>6</v>
      </c>
      <c r="G38" s="67" t="s">
        <v>7</v>
      </c>
      <c r="H38" s="68" t="s">
        <v>8</v>
      </c>
      <c r="I38" s="68" t="s">
        <v>9</v>
      </c>
      <c r="J38" s="68" t="s">
        <v>10</v>
      </c>
      <c r="K38" s="68" t="s">
        <v>22</v>
      </c>
      <c r="M38" s="57"/>
    </row>
    <row r="39" spans="1:15" ht="20.100000000000001" customHeight="1" x14ac:dyDescent="0.2">
      <c r="B39" s="60"/>
      <c r="K39" s="61"/>
    </row>
    <row r="40" spans="1:15" ht="20.100000000000001" customHeight="1" x14ac:dyDescent="0.2">
      <c r="B40" s="69">
        <v>46161</v>
      </c>
      <c r="C40" s="70" t="s">
        <v>13</v>
      </c>
      <c r="D40" s="71">
        <v>14648</v>
      </c>
      <c r="E40" s="71">
        <v>50</v>
      </c>
      <c r="F40" s="71" t="s">
        <v>12</v>
      </c>
      <c r="G40" s="70" t="s">
        <v>193</v>
      </c>
      <c r="H40" s="139">
        <v>208</v>
      </c>
      <c r="I40" s="72">
        <v>12</v>
      </c>
      <c r="J40" s="95">
        <f>E40*H40*I40</f>
        <v>124800</v>
      </c>
      <c r="K40" s="173">
        <f t="shared" ref="K40" si="6">J40</f>
        <v>124800</v>
      </c>
      <c r="M40" s="57"/>
      <c r="O40" s="26" t="s">
        <v>135</v>
      </c>
    </row>
    <row r="41" spans="1:15" ht="20.100000000000001" customHeight="1" x14ac:dyDescent="0.2">
      <c r="B41" s="60"/>
      <c r="K41" s="61"/>
      <c r="M41" s="57"/>
    </row>
    <row r="42" spans="1:15" ht="20.100000000000001" customHeight="1" x14ac:dyDescent="0.2">
      <c r="B42" s="69">
        <v>46171</v>
      </c>
      <c r="C42" s="70" t="s">
        <v>13</v>
      </c>
      <c r="D42" s="71">
        <v>14662</v>
      </c>
      <c r="E42" s="71">
        <v>30</v>
      </c>
      <c r="F42" s="71" t="s">
        <v>12</v>
      </c>
      <c r="G42" s="70" t="s">
        <v>112</v>
      </c>
      <c r="H42" s="72">
        <v>273</v>
      </c>
      <c r="I42" s="72">
        <v>24</v>
      </c>
      <c r="J42" s="95">
        <f>E42*H42*I42</f>
        <v>196560</v>
      </c>
      <c r="K42" s="173">
        <f>J42</f>
        <v>196560</v>
      </c>
      <c r="M42" s="57"/>
    </row>
    <row r="43" spans="1:15" ht="20.100000000000001" customHeight="1" x14ac:dyDescent="0.2">
      <c r="B43" s="60"/>
      <c r="K43" s="61"/>
    </row>
    <row r="44" spans="1:15" ht="20.100000000000001" customHeight="1" thickBot="1" x14ac:dyDescent="0.25">
      <c r="B44" s="79"/>
      <c r="C44" s="80"/>
      <c r="D44" s="81"/>
      <c r="E44" s="81"/>
      <c r="F44" s="81"/>
      <c r="G44" s="80"/>
      <c r="H44" s="82"/>
      <c r="I44" s="83" t="s">
        <v>75</v>
      </c>
      <c r="J44" s="90">
        <f>SUM(J39:J43)</f>
        <v>321360</v>
      </c>
      <c r="K44" s="78">
        <f>J44-K42-K40</f>
        <v>0</v>
      </c>
    </row>
    <row r="45" spans="1:15" ht="20.100000000000001" customHeight="1" thickTop="1" x14ac:dyDescent="0.2">
      <c r="J45" s="57">
        <f>J44+J25</f>
        <v>11657760</v>
      </c>
    </row>
    <row r="46" spans="1:15" ht="20.100000000000001" customHeight="1" x14ac:dyDescent="0.2">
      <c r="J46" s="57">
        <f>J45*0.4</f>
        <v>4663104</v>
      </c>
    </row>
    <row r="47" spans="1:15" ht="20.100000000000001" customHeight="1" x14ac:dyDescent="0.2">
      <c r="M47" s="137"/>
      <c r="O47" s="26">
        <f>M47/1.12</f>
        <v>0</v>
      </c>
    </row>
    <row r="48" spans="1:15" ht="20.100000000000001" customHeight="1" x14ac:dyDescent="0.2">
      <c r="B48" s="59" t="s">
        <v>25</v>
      </c>
      <c r="F48" s="28" t="s">
        <v>26</v>
      </c>
    </row>
    <row r="49" spans="3:7" ht="20.100000000000001" customHeight="1" x14ac:dyDescent="0.2">
      <c r="C49" s="26" t="s">
        <v>27</v>
      </c>
      <c r="G49" s="26" t="s">
        <v>35</v>
      </c>
    </row>
  </sheetData>
  <mergeCells count="1">
    <mergeCell ref="R16:T16"/>
  </mergeCells>
  <printOptions gridLines="1"/>
  <pageMargins left="0.7" right="0.7" top="0.75" bottom="0.75" header="0.3" footer="0.3"/>
  <pageSetup scale="56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3360-566D-4F0D-915D-F27B008BA1C7}">
  <sheetPr codeName="Sheet7">
    <pageSetUpPr fitToPage="1"/>
  </sheetPr>
  <dimension ref="A1:V79"/>
  <sheetViews>
    <sheetView topLeftCell="A7" zoomScale="85" zoomScaleNormal="85" workbookViewId="0">
      <selection activeCell="E26" sqref="E26:I27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4.42578125" style="26" customWidth="1"/>
    <col min="4" max="4" width="13" style="29" customWidth="1"/>
    <col min="5" max="6" width="9.140625" style="29"/>
    <col min="7" max="7" width="64.5703125" style="26" customWidth="1"/>
    <col min="8" max="8" width="14.28515625" style="58" bestFit="1" customWidth="1"/>
    <col min="9" max="9" width="9.140625" style="58"/>
    <col min="10" max="10" width="18" style="57" customWidth="1"/>
    <col min="11" max="11" width="17" style="57" bestFit="1" customWidth="1"/>
    <col min="12" max="12" width="9.140625" style="26"/>
    <col min="13" max="13" width="14.42578125" style="26" bestFit="1" customWidth="1"/>
    <col min="14" max="15" width="15.5703125" style="26" bestFit="1" customWidth="1"/>
    <col min="16" max="16" width="19.7109375" style="26" customWidth="1"/>
    <col min="17" max="17" width="11.140625" style="26" customWidth="1"/>
    <col min="18" max="18" width="14" style="26" bestFit="1" customWidth="1"/>
    <col min="19" max="19" width="17.5703125" style="26" bestFit="1" customWidth="1"/>
    <col min="20" max="20" width="17.28515625" style="26" bestFit="1" customWidth="1"/>
    <col min="21" max="21" width="14.28515625" style="26" bestFit="1" customWidth="1"/>
    <col min="22" max="22" width="17.28515625" style="26" bestFit="1" customWidth="1"/>
    <col min="23" max="16384" width="9.140625" style="26"/>
  </cols>
  <sheetData>
    <row r="1" spans="2:22" ht="20.100000000000001" customHeight="1" x14ac:dyDescent="0.2">
      <c r="B1" s="84" t="s">
        <v>24</v>
      </c>
    </row>
    <row r="2" spans="2:22" ht="20.100000000000001" customHeight="1" x14ac:dyDescent="0.2">
      <c r="B2" s="84" t="s">
        <v>1</v>
      </c>
    </row>
    <row r="3" spans="2:22" ht="20.100000000000001" customHeight="1" x14ac:dyDescent="0.2">
      <c r="B3" s="84" t="s">
        <v>203</v>
      </c>
    </row>
    <row r="5" spans="2:22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  <c r="P5" s="176" t="s">
        <v>207</v>
      </c>
      <c r="Q5" s="26"/>
      <c r="R5" s="26"/>
      <c r="S5" s="26"/>
      <c r="T5" s="26"/>
      <c r="U5" s="26"/>
      <c r="V5" s="26"/>
    </row>
    <row r="6" spans="2:22" ht="20.100000000000001" customHeight="1" x14ac:dyDescent="0.2">
      <c r="B6" s="60"/>
      <c r="K6" s="61"/>
      <c r="P6" s="29"/>
      <c r="Q6" s="29"/>
      <c r="R6" s="29"/>
      <c r="S6" s="29"/>
      <c r="T6" s="29"/>
      <c r="U6" s="29"/>
      <c r="V6" s="29"/>
    </row>
    <row r="7" spans="2:22" ht="20.100000000000001" customHeight="1" x14ac:dyDescent="0.2">
      <c r="B7" s="69">
        <v>46184</v>
      </c>
      <c r="C7" s="70" t="s">
        <v>13</v>
      </c>
      <c r="D7" s="71">
        <v>14694</v>
      </c>
      <c r="E7" s="148">
        <v>70</v>
      </c>
      <c r="F7" s="71" t="s">
        <v>12</v>
      </c>
      <c r="G7" s="70" t="s">
        <v>30</v>
      </c>
      <c r="H7" s="72">
        <v>335</v>
      </c>
      <c r="I7" s="72">
        <v>12</v>
      </c>
      <c r="J7" s="73">
        <f t="shared" ref="J7:J10" si="0">E7*H7*I7</f>
        <v>281400</v>
      </c>
      <c r="K7" s="140"/>
      <c r="P7" s="67" t="s">
        <v>2</v>
      </c>
      <c r="Q7" s="67" t="s">
        <v>136</v>
      </c>
      <c r="R7" s="67" t="s">
        <v>137</v>
      </c>
      <c r="S7" s="67" t="s">
        <v>138</v>
      </c>
      <c r="T7" s="67"/>
      <c r="U7" s="67" t="s">
        <v>139</v>
      </c>
      <c r="V7" s="67" t="s">
        <v>140</v>
      </c>
    </row>
    <row r="8" spans="2:22" ht="20.100000000000001" customHeight="1" x14ac:dyDescent="0.2">
      <c r="B8" s="60"/>
      <c r="D8" s="136"/>
      <c r="E8" s="181">
        <v>20</v>
      </c>
      <c r="F8" s="71" t="s">
        <v>12</v>
      </c>
      <c r="G8" s="70" t="s">
        <v>89</v>
      </c>
      <c r="H8" s="72">
        <v>180</v>
      </c>
      <c r="I8" s="72">
        <v>24</v>
      </c>
      <c r="J8" s="73">
        <f t="shared" si="0"/>
        <v>86400</v>
      </c>
      <c r="K8" s="140"/>
      <c r="P8" s="69">
        <v>46188</v>
      </c>
      <c r="Q8" s="71">
        <v>14703</v>
      </c>
      <c r="R8" s="73"/>
      <c r="S8" s="73">
        <v>264000</v>
      </c>
      <c r="T8" s="73">
        <f>S8/1.12</f>
        <v>235714.28571428568</v>
      </c>
      <c r="U8" s="73">
        <f>T8*0.01</f>
        <v>2357.1428571428569</v>
      </c>
      <c r="V8" s="73">
        <f>S8-U8</f>
        <v>261642.85714285713</v>
      </c>
    </row>
    <row r="9" spans="2:22" ht="20.100000000000001" customHeight="1" x14ac:dyDescent="0.2">
      <c r="B9" s="60"/>
      <c r="D9" s="136"/>
      <c r="E9" s="181">
        <v>10</v>
      </c>
      <c r="F9" s="71" t="s">
        <v>12</v>
      </c>
      <c r="G9" s="147" t="s">
        <v>109</v>
      </c>
      <c r="H9" s="72">
        <v>98.75</v>
      </c>
      <c r="I9" s="72">
        <v>36</v>
      </c>
      <c r="J9" s="73">
        <f t="shared" si="0"/>
        <v>35550</v>
      </c>
      <c r="K9" s="140"/>
      <c r="M9" s="57"/>
      <c r="P9" s="187"/>
      <c r="Q9" s="71"/>
      <c r="R9" s="73"/>
      <c r="S9" s="73"/>
      <c r="T9" s="70"/>
      <c r="U9" s="70"/>
      <c r="V9" s="70"/>
    </row>
    <row r="10" spans="2:22" ht="20.100000000000001" customHeight="1" x14ac:dyDescent="0.2">
      <c r="B10" s="63"/>
      <c r="C10" s="64"/>
      <c r="D10" s="99"/>
      <c r="E10" s="181">
        <v>20</v>
      </c>
      <c r="F10" s="71" t="s">
        <v>12</v>
      </c>
      <c r="G10" s="70" t="s">
        <v>201</v>
      </c>
      <c r="H10" s="72">
        <v>440</v>
      </c>
      <c r="I10" s="72">
        <v>6</v>
      </c>
      <c r="J10" s="73">
        <f t="shared" si="0"/>
        <v>52800</v>
      </c>
      <c r="K10" s="141">
        <f>SUM(J7:J10)</f>
        <v>456150</v>
      </c>
      <c r="M10" s="57">
        <v>1</v>
      </c>
      <c r="P10" s="69">
        <v>46196</v>
      </c>
      <c r="Q10" s="71">
        <v>14716</v>
      </c>
      <c r="R10" s="73"/>
      <c r="S10" s="73">
        <v>1290000</v>
      </c>
      <c r="T10" s="73">
        <f>S10/1.12</f>
        <v>1151785.7142857141</v>
      </c>
      <c r="U10" s="73">
        <f>T10*0.01</f>
        <v>11517.857142857141</v>
      </c>
      <c r="V10" s="73">
        <f>S10-U10</f>
        <v>1278482.142857143</v>
      </c>
    </row>
    <row r="11" spans="2:22" ht="20.100000000000001" customHeight="1" x14ac:dyDescent="0.2">
      <c r="B11" s="60"/>
      <c r="E11" s="19"/>
      <c r="K11" s="61"/>
      <c r="M11" s="57"/>
      <c r="P11" s="69"/>
      <c r="Q11" s="71"/>
      <c r="R11" s="73"/>
      <c r="S11" s="73"/>
      <c r="T11" s="73"/>
      <c r="U11" s="73"/>
      <c r="V11" s="73"/>
    </row>
    <row r="12" spans="2:22" ht="20.100000000000001" customHeight="1" x14ac:dyDescent="0.2">
      <c r="B12" s="69">
        <v>46188</v>
      </c>
      <c r="C12" s="70" t="s">
        <v>13</v>
      </c>
      <c r="D12" s="71">
        <v>14703</v>
      </c>
      <c r="E12" s="148">
        <v>100</v>
      </c>
      <c r="F12" s="71" t="s">
        <v>12</v>
      </c>
      <c r="G12" s="70" t="s">
        <v>98</v>
      </c>
      <c r="H12" s="72">
        <v>220</v>
      </c>
      <c r="I12" s="72">
        <v>12</v>
      </c>
      <c r="J12" s="73">
        <f t="shared" ref="J12" si="1">E12*H12*I12</f>
        <v>264000</v>
      </c>
      <c r="K12" s="173">
        <f>J12</f>
        <v>264000</v>
      </c>
      <c r="M12" s="57">
        <v>1</v>
      </c>
      <c r="P12" s="69">
        <v>46196</v>
      </c>
      <c r="Q12" s="71">
        <v>14717</v>
      </c>
      <c r="R12" s="73"/>
      <c r="S12" s="73">
        <v>2320200</v>
      </c>
      <c r="T12" s="73">
        <f>S12/1.12</f>
        <v>2071607.1428571427</v>
      </c>
      <c r="U12" s="73">
        <f>T12*0.01</f>
        <v>20716.071428571428</v>
      </c>
      <c r="V12" s="73">
        <f>S12-U12</f>
        <v>2299483.9285714286</v>
      </c>
    </row>
    <row r="13" spans="2:22" ht="20.100000000000001" customHeight="1" x14ac:dyDescent="0.2">
      <c r="B13" s="60"/>
      <c r="E13" s="19"/>
      <c r="K13" s="61"/>
      <c r="M13" s="57"/>
      <c r="P13" s="69"/>
      <c r="Q13" s="71"/>
      <c r="R13" s="73"/>
      <c r="S13" s="73"/>
      <c r="T13" s="73"/>
      <c r="U13" s="73"/>
      <c r="V13" s="73"/>
    </row>
    <row r="14" spans="2:22" ht="20.100000000000001" customHeight="1" x14ac:dyDescent="0.2">
      <c r="B14" s="69">
        <v>46196</v>
      </c>
      <c r="C14" s="70" t="s">
        <v>13</v>
      </c>
      <c r="D14" s="71">
        <v>14716</v>
      </c>
      <c r="E14" s="148">
        <v>500</v>
      </c>
      <c r="F14" s="71" t="s">
        <v>12</v>
      </c>
      <c r="G14" s="70" t="s">
        <v>31</v>
      </c>
      <c r="H14" s="72">
        <v>215</v>
      </c>
      <c r="I14" s="72">
        <v>12</v>
      </c>
      <c r="J14" s="73">
        <f t="shared" ref="J14:J24" si="2">E14*H14*I14</f>
        <v>1290000</v>
      </c>
      <c r="K14" s="173">
        <f>J14</f>
        <v>1290000</v>
      </c>
      <c r="M14" s="57">
        <v>1</v>
      </c>
      <c r="P14" s="69">
        <v>46198</v>
      </c>
      <c r="Q14" s="71">
        <v>14721</v>
      </c>
      <c r="R14" s="73"/>
      <c r="S14" s="73">
        <v>1504984</v>
      </c>
      <c r="T14" s="73">
        <f>S14/1.12</f>
        <v>1343735.7142857141</v>
      </c>
      <c r="U14" s="73">
        <f>T14*0.01</f>
        <v>13437.357142857141</v>
      </c>
      <c r="V14" s="73">
        <f>S14-U14</f>
        <v>1491546.642857143</v>
      </c>
    </row>
    <row r="15" spans="2:22" ht="20.100000000000001" customHeight="1" x14ac:dyDescent="0.2">
      <c r="B15" s="60"/>
      <c r="E15" s="19"/>
      <c r="K15" s="142"/>
      <c r="M15" s="57"/>
      <c r="P15" s="69"/>
      <c r="Q15" s="71"/>
      <c r="R15" s="73"/>
      <c r="S15" s="73"/>
      <c r="T15" s="73"/>
      <c r="U15" s="73"/>
      <c r="V15" s="73"/>
    </row>
    <row r="16" spans="2:22" ht="20.100000000000001" customHeight="1" x14ac:dyDescent="0.2">
      <c r="B16" s="168">
        <v>46196</v>
      </c>
      <c r="C16" s="89" t="s">
        <v>13</v>
      </c>
      <c r="D16" s="88">
        <v>14717</v>
      </c>
      <c r="E16" s="148">
        <v>730</v>
      </c>
      <c r="F16" s="71" t="s">
        <v>12</v>
      </c>
      <c r="G16" s="70" t="s">
        <v>201</v>
      </c>
      <c r="H16" s="72">
        <v>440</v>
      </c>
      <c r="I16" s="72">
        <v>6</v>
      </c>
      <c r="J16" s="73">
        <f t="shared" ref="J16" si="3">E16*H16*I16</f>
        <v>1927200</v>
      </c>
      <c r="K16" s="143"/>
      <c r="M16" s="57"/>
      <c r="P16" s="69">
        <v>46203</v>
      </c>
      <c r="Q16" s="71">
        <v>14736</v>
      </c>
      <c r="R16" s="73"/>
      <c r="S16" s="73">
        <v>2474040</v>
      </c>
      <c r="T16" s="73">
        <f>S16/1.12</f>
        <v>2208964.2857142854</v>
      </c>
      <c r="U16" s="73">
        <f>T16*0.01</f>
        <v>22089.642857142855</v>
      </c>
      <c r="V16" s="73">
        <f>S16-U16</f>
        <v>2451950.3571428573</v>
      </c>
    </row>
    <row r="17" spans="2:22" ht="20.100000000000001" customHeight="1" x14ac:dyDescent="0.2">
      <c r="B17" s="79"/>
      <c r="C17" s="80"/>
      <c r="D17" s="157"/>
      <c r="E17" s="181">
        <v>50</v>
      </c>
      <c r="F17" s="71" t="s">
        <v>12</v>
      </c>
      <c r="G17" s="70" t="s">
        <v>150</v>
      </c>
      <c r="H17" s="72">
        <v>655</v>
      </c>
      <c r="I17" s="72">
        <v>12</v>
      </c>
      <c r="J17" s="73">
        <f t="shared" si="2"/>
        <v>393000</v>
      </c>
      <c r="K17" s="173">
        <f>SUM(J16:J17)</f>
        <v>2320200</v>
      </c>
      <c r="M17" s="57">
        <v>3</v>
      </c>
      <c r="P17" s="69"/>
      <c r="Q17" s="71"/>
      <c r="R17" s="73"/>
      <c r="S17" s="73"/>
      <c r="T17" s="73"/>
      <c r="U17" s="73"/>
      <c r="V17" s="73"/>
    </row>
    <row r="18" spans="2:22" ht="20.100000000000001" customHeight="1" x14ac:dyDescent="0.2">
      <c r="B18" s="60"/>
      <c r="E18" s="19"/>
      <c r="K18" s="142"/>
      <c r="M18" s="57"/>
      <c r="P18" s="69"/>
      <c r="Q18" s="71"/>
      <c r="R18" s="73"/>
      <c r="S18" s="73"/>
      <c r="T18" s="73">
        <f>S18/1.12</f>
        <v>0</v>
      </c>
      <c r="U18" s="73">
        <f>T18*0.01</f>
        <v>0</v>
      </c>
      <c r="V18" s="73">
        <f>S18-U18</f>
        <v>0</v>
      </c>
    </row>
    <row r="19" spans="2:22" ht="20.100000000000001" customHeight="1" x14ac:dyDescent="0.2">
      <c r="B19" s="69">
        <v>46198</v>
      </c>
      <c r="C19" s="70" t="s">
        <v>13</v>
      </c>
      <c r="D19" s="71">
        <v>14721</v>
      </c>
      <c r="E19" s="148">
        <v>200</v>
      </c>
      <c r="F19" s="71" t="s">
        <v>12</v>
      </c>
      <c r="G19" s="70" t="s">
        <v>200</v>
      </c>
      <c r="H19" s="72">
        <v>125</v>
      </c>
      <c r="I19" s="72">
        <v>12</v>
      </c>
      <c r="J19" s="73">
        <f t="shared" ref="J19:J22" si="4">E19*H19*I19</f>
        <v>300000</v>
      </c>
      <c r="K19" s="140"/>
      <c r="M19" s="57"/>
      <c r="P19" s="71"/>
      <c r="Q19" s="71"/>
      <c r="R19" s="73"/>
      <c r="S19" s="73"/>
      <c r="T19" s="70"/>
      <c r="U19" s="70"/>
      <c r="V19" s="70"/>
    </row>
    <row r="20" spans="2:22" ht="20.100000000000001" customHeight="1" x14ac:dyDescent="0.2">
      <c r="B20" s="60"/>
      <c r="D20" s="136"/>
      <c r="E20" s="181">
        <v>350</v>
      </c>
      <c r="F20" s="71" t="s">
        <v>12</v>
      </c>
      <c r="G20" s="70" t="s">
        <v>201</v>
      </c>
      <c r="H20" s="72">
        <v>440</v>
      </c>
      <c r="I20" s="72">
        <v>6</v>
      </c>
      <c r="J20" s="73">
        <f t="shared" si="4"/>
        <v>924000</v>
      </c>
      <c r="K20" s="140"/>
      <c r="M20" s="57"/>
      <c r="P20" s="198" t="s">
        <v>141</v>
      </c>
      <c r="Q20" s="199"/>
      <c r="R20" s="200"/>
      <c r="S20" s="74">
        <f>SUM(S8:S19)</f>
        <v>7853224</v>
      </c>
      <c r="T20" s="74">
        <f>SUM(T8:T19)</f>
        <v>7011807.1428571418</v>
      </c>
      <c r="U20" s="74">
        <f>SUM(U8:U19)</f>
        <v>70118.07142857142</v>
      </c>
      <c r="V20" s="74">
        <f>SUM(V8:V19)</f>
        <v>7783105.9285714291</v>
      </c>
    </row>
    <row r="21" spans="2:22" ht="20.100000000000001" customHeight="1" x14ac:dyDescent="0.2">
      <c r="B21" s="60"/>
      <c r="D21" s="136"/>
      <c r="E21" s="181">
        <v>50</v>
      </c>
      <c r="F21" s="71" t="s">
        <v>12</v>
      </c>
      <c r="G21" s="147" t="s">
        <v>205</v>
      </c>
      <c r="H21" s="72">
        <v>345</v>
      </c>
      <c r="I21" s="72">
        <v>12</v>
      </c>
      <c r="J21" s="73">
        <f t="shared" si="4"/>
        <v>207000</v>
      </c>
      <c r="K21" s="140"/>
      <c r="M21" s="57"/>
    </row>
    <row r="22" spans="2:22" ht="20.100000000000001" customHeight="1" x14ac:dyDescent="0.2">
      <c r="B22" s="63"/>
      <c r="C22" s="64"/>
      <c r="D22" s="99"/>
      <c r="E22" s="181">
        <v>20</v>
      </c>
      <c r="F22" s="71" t="s">
        <v>12</v>
      </c>
      <c r="G22" s="147" t="s">
        <v>206</v>
      </c>
      <c r="H22" s="72">
        <v>462.4</v>
      </c>
      <c r="I22" s="72">
        <v>8</v>
      </c>
      <c r="J22" s="73">
        <f t="shared" si="4"/>
        <v>73984</v>
      </c>
      <c r="K22" s="146">
        <f>SUM(J19:J22)</f>
        <v>1504984</v>
      </c>
      <c r="M22" s="57">
        <v>2</v>
      </c>
      <c r="R22" s="29" t="s">
        <v>143</v>
      </c>
      <c r="S22" s="57">
        <f>S20</f>
        <v>7853224</v>
      </c>
    </row>
    <row r="23" spans="2:22" ht="20.100000000000001" customHeight="1" x14ac:dyDescent="0.2">
      <c r="B23" s="60"/>
      <c r="E23" s="19"/>
      <c r="K23" s="142"/>
      <c r="M23" s="57"/>
      <c r="R23" s="29" t="s">
        <v>144</v>
      </c>
      <c r="S23" s="57">
        <v>9095374</v>
      </c>
    </row>
    <row r="24" spans="2:22" ht="20.100000000000001" customHeight="1" thickBot="1" x14ac:dyDescent="0.25">
      <c r="B24" s="69">
        <v>46198</v>
      </c>
      <c r="C24" s="70" t="s">
        <v>13</v>
      </c>
      <c r="D24" s="71">
        <v>14723</v>
      </c>
      <c r="E24" s="148">
        <v>150</v>
      </c>
      <c r="F24" s="71" t="s">
        <v>12</v>
      </c>
      <c r="G24" s="70" t="s">
        <v>201</v>
      </c>
      <c r="H24" s="72">
        <v>440</v>
      </c>
      <c r="I24" s="72">
        <v>6</v>
      </c>
      <c r="J24" s="73">
        <f t="shared" si="2"/>
        <v>396000</v>
      </c>
      <c r="K24" s="143">
        <f>J24</f>
        <v>396000</v>
      </c>
      <c r="M24" s="57">
        <v>1</v>
      </c>
      <c r="S24" s="180">
        <f>S22/S23</f>
        <v>0.86343057470753815</v>
      </c>
    </row>
    <row r="25" spans="2:22" ht="20.100000000000001" customHeight="1" thickTop="1" x14ac:dyDescent="0.2">
      <c r="B25" s="60"/>
      <c r="E25" s="19"/>
      <c r="K25" s="142"/>
      <c r="M25" s="57"/>
    </row>
    <row r="26" spans="2:22" ht="20.100000000000001" customHeight="1" x14ac:dyDescent="0.2">
      <c r="B26" s="69">
        <v>46203</v>
      </c>
      <c r="C26" s="70" t="s">
        <v>13</v>
      </c>
      <c r="D26" s="71">
        <v>14736</v>
      </c>
      <c r="E26" s="148">
        <v>150</v>
      </c>
      <c r="F26" s="71" t="s">
        <v>12</v>
      </c>
      <c r="G26" s="70" t="s">
        <v>98</v>
      </c>
      <c r="H26" s="72">
        <v>220</v>
      </c>
      <c r="I26" s="72">
        <v>12</v>
      </c>
      <c r="J26" s="73">
        <f t="shared" ref="J26:J32" si="5">E26*H26*I26</f>
        <v>396000</v>
      </c>
      <c r="K26" s="140"/>
      <c r="M26" s="57"/>
    </row>
    <row r="27" spans="2:22" ht="20.100000000000001" customHeight="1" x14ac:dyDescent="0.2">
      <c r="B27" s="60"/>
      <c r="D27" s="136"/>
      <c r="E27" s="181">
        <v>100</v>
      </c>
      <c r="F27" s="71" t="s">
        <v>12</v>
      </c>
      <c r="G27" s="70" t="s">
        <v>99</v>
      </c>
      <c r="H27" s="72">
        <v>787.5</v>
      </c>
      <c r="I27" s="72">
        <v>6</v>
      </c>
      <c r="J27" s="73">
        <f t="shared" si="5"/>
        <v>472500</v>
      </c>
      <c r="K27" s="140"/>
      <c r="M27" s="57"/>
    </row>
    <row r="28" spans="2:22" ht="20.100000000000001" customHeight="1" x14ac:dyDescent="0.2">
      <c r="B28" s="60"/>
      <c r="D28" s="136"/>
      <c r="E28" s="181">
        <v>160</v>
      </c>
      <c r="F28" s="71" t="s">
        <v>12</v>
      </c>
      <c r="G28" s="70" t="s">
        <v>79</v>
      </c>
      <c r="H28" s="72">
        <v>232</v>
      </c>
      <c r="I28" s="72">
        <v>12</v>
      </c>
      <c r="J28" s="73">
        <f t="shared" si="5"/>
        <v>445440</v>
      </c>
      <c r="K28" s="140"/>
      <c r="M28" s="57"/>
    </row>
    <row r="29" spans="2:22" ht="20.100000000000001" customHeight="1" x14ac:dyDescent="0.2">
      <c r="B29" s="60"/>
      <c r="D29" s="136"/>
      <c r="E29" s="181">
        <v>50</v>
      </c>
      <c r="F29" s="71" t="s">
        <v>12</v>
      </c>
      <c r="G29" s="70" t="s">
        <v>194</v>
      </c>
      <c r="H29" s="72">
        <v>73</v>
      </c>
      <c r="I29" s="72">
        <v>36</v>
      </c>
      <c r="J29" s="73">
        <f t="shared" si="5"/>
        <v>131400</v>
      </c>
      <c r="K29" s="140"/>
      <c r="M29" s="57"/>
    </row>
    <row r="30" spans="2:22" ht="20.100000000000001" customHeight="1" x14ac:dyDescent="0.2">
      <c r="B30" s="60"/>
      <c r="D30" s="136"/>
      <c r="E30" s="181">
        <v>50</v>
      </c>
      <c r="F30" s="71" t="s">
        <v>12</v>
      </c>
      <c r="G30" s="70" t="s">
        <v>208</v>
      </c>
      <c r="H30" s="72">
        <v>885</v>
      </c>
      <c r="I30" s="72">
        <v>12</v>
      </c>
      <c r="J30" s="73">
        <f t="shared" si="5"/>
        <v>531000</v>
      </c>
      <c r="K30" s="140"/>
      <c r="M30" s="57"/>
    </row>
    <row r="31" spans="2:22" ht="20.100000000000001" customHeight="1" x14ac:dyDescent="0.2">
      <c r="B31" s="60"/>
      <c r="D31" s="136"/>
      <c r="E31" s="181">
        <v>30</v>
      </c>
      <c r="F31" s="71" t="s">
        <v>12</v>
      </c>
      <c r="G31" s="70" t="s">
        <v>129</v>
      </c>
      <c r="H31" s="72">
        <v>455</v>
      </c>
      <c r="I31" s="72">
        <v>24</v>
      </c>
      <c r="J31" s="73">
        <f t="shared" si="5"/>
        <v>327600</v>
      </c>
      <c r="K31" s="140"/>
      <c r="M31" s="57"/>
    </row>
    <row r="32" spans="2:22" ht="20.100000000000001" customHeight="1" x14ac:dyDescent="0.2">
      <c r="B32" s="63"/>
      <c r="C32" s="64"/>
      <c r="D32" s="99"/>
      <c r="E32" s="157">
        <v>20</v>
      </c>
      <c r="F32" s="71" t="s">
        <v>12</v>
      </c>
      <c r="G32" s="70" t="s">
        <v>130</v>
      </c>
      <c r="H32" s="72">
        <v>236.25</v>
      </c>
      <c r="I32" s="72">
        <v>36</v>
      </c>
      <c r="J32" s="73">
        <f t="shared" si="5"/>
        <v>170100</v>
      </c>
      <c r="K32" s="146">
        <f>SUM(J26:J32)</f>
        <v>2474040</v>
      </c>
      <c r="M32" s="57">
        <v>3</v>
      </c>
    </row>
    <row r="33" spans="2:15" ht="20.100000000000001" customHeight="1" x14ac:dyDescent="0.2">
      <c r="B33" s="60"/>
      <c r="K33" s="142"/>
      <c r="M33" s="57"/>
    </row>
    <row r="34" spans="2:15" ht="20.100000000000001" customHeight="1" thickBot="1" x14ac:dyDescent="0.25">
      <c r="B34" s="79"/>
      <c r="C34" s="80"/>
      <c r="D34" s="81"/>
      <c r="E34" s="81"/>
      <c r="F34" s="81"/>
      <c r="G34" s="80"/>
      <c r="H34" s="82"/>
      <c r="I34" s="83" t="s">
        <v>77</v>
      </c>
      <c r="J34" s="90">
        <f>SUM(J6:J33)</f>
        <v>8705374</v>
      </c>
      <c r="K34" s="78">
        <f>J34-K14-K17-K22-K24-K10-K12-K32</f>
        <v>0</v>
      </c>
    </row>
    <row r="35" spans="2:15" ht="20.100000000000001" customHeight="1" thickTop="1" x14ac:dyDescent="0.2">
      <c r="K35" s="57" t="s">
        <v>16</v>
      </c>
    </row>
    <row r="37" spans="2:15" ht="20.100000000000001" customHeight="1" x14ac:dyDescent="0.2">
      <c r="B37" s="59" t="s">
        <v>25</v>
      </c>
      <c r="F37" s="28" t="s">
        <v>26</v>
      </c>
      <c r="J37" s="57">
        <f>J34-J36</f>
        <v>8705374</v>
      </c>
    </row>
    <row r="38" spans="2:15" ht="20.100000000000001" customHeight="1" x14ac:dyDescent="0.2">
      <c r="C38" s="26" t="s">
        <v>27</v>
      </c>
      <c r="G38" s="26" t="s">
        <v>35</v>
      </c>
    </row>
    <row r="41" spans="2:15" ht="20.100000000000001" customHeight="1" x14ac:dyDescent="0.2">
      <c r="O41" s="145"/>
    </row>
    <row r="43" spans="2:15" ht="20.100000000000001" customHeight="1" x14ac:dyDescent="0.2">
      <c r="B43" s="84" t="s">
        <v>23</v>
      </c>
    </row>
    <row r="44" spans="2:15" ht="20.100000000000001" customHeight="1" x14ac:dyDescent="0.2">
      <c r="B44" s="84" t="s">
        <v>1</v>
      </c>
    </row>
    <row r="45" spans="2:15" ht="20.100000000000001" customHeight="1" x14ac:dyDescent="0.2">
      <c r="B45" s="84" t="s">
        <v>203</v>
      </c>
    </row>
    <row r="47" spans="2:15" ht="20.100000000000001" customHeight="1" x14ac:dyDescent="0.2">
      <c r="B47" s="66" t="s">
        <v>2</v>
      </c>
      <c r="C47" s="67" t="s">
        <v>3</v>
      </c>
      <c r="D47" s="67" t="s">
        <v>4</v>
      </c>
      <c r="E47" s="67" t="s">
        <v>21</v>
      </c>
      <c r="F47" s="67" t="s">
        <v>6</v>
      </c>
      <c r="G47" s="67" t="s">
        <v>7</v>
      </c>
      <c r="H47" s="68" t="s">
        <v>8</v>
      </c>
      <c r="I47" s="68" t="s">
        <v>9</v>
      </c>
      <c r="J47" s="68" t="s">
        <v>10</v>
      </c>
      <c r="K47" s="68" t="s">
        <v>22</v>
      </c>
    </row>
    <row r="48" spans="2:15" ht="20.100000000000001" customHeight="1" x14ac:dyDescent="0.2">
      <c r="B48" s="60"/>
      <c r="K48" s="61"/>
    </row>
    <row r="49" spans="1:17" ht="20.100000000000001" customHeight="1" x14ac:dyDescent="0.2">
      <c r="B49" s="69">
        <v>46198</v>
      </c>
      <c r="C49" s="70" t="s">
        <v>13</v>
      </c>
      <c r="D49" s="71">
        <v>14722</v>
      </c>
      <c r="E49" s="71">
        <v>100</v>
      </c>
      <c r="F49" s="71" t="s">
        <v>12</v>
      </c>
      <c r="G49" s="178" t="s">
        <v>204</v>
      </c>
      <c r="H49" s="72">
        <v>325</v>
      </c>
      <c r="I49" s="72">
        <v>12</v>
      </c>
      <c r="J49" s="95">
        <f t="shared" ref="J49" si="6">E49*H49*I49</f>
        <v>390000</v>
      </c>
      <c r="K49" s="74">
        <f t="shared" ref="K49" si="7">J49</f>
        <v>390000</v>
      </c>
      <c r="O49" s="57"/>
    </row>
    <row r="50" spans="1:17" ht="20.100000000000001" customHeight="1" x14ac:dyDescent="0.2">
      <c r="B50" s="60"/>
      <c r="K50" s="61"/>
      <c r="O50" s="137"/>
    </row>
    <row r="51" spans="1:17" ht="20.100000000000001" hidden="1" customHeight="1" x14ac:dyDescent="0.2">
      <c r="B51" s="69"/>
      <c r="C51" s="70"/>
      <c r="D51" s="71"/>
      <c r="E51" s="71"/>
      <c r="F51" s="71"/>
      <c r="G51" s="70"/>
      <c r="H51" s="72"/>
      <c r="I51" s="72"/>
      <c r="J51" s="95"/>
      <c r="K51" s="74">
        <f>SUM(J50:J51)</f>
        <v>0</v>
      </c>
    </row>
    <row r="52" spans="1:17" ht="20.100000000000001" hidden="1" customHeight="1" x14ac:dyDescent="0.2">
      <c r="B52" s="60"/>
      <c r="K52" s="61"/>
    </row>
    <row r="53" spans="1:17" ht="20.100000000000001" customHeight="1" thickBot="1" x14ac:dyDescent="0.25">
      <c r="B53" s="79"/>
      <c r="C53" s="80"/>
      <c r="D53" s="81"/>
      <c r="E53" s="81"/>
      <c r="F53" s="81"/>
      <c r="G53" s="80"/>
      <c r="H53" s="82"/>
      <c r="I53" s="83" t="s">
        <v>78</v>
      </c>
      <c r="J53" s="90">
        <f>SUM(J48:J52)</f>
        <v>390000</v>
      </c>
      <c r="K53" s="78">
        <f>J53-K49-K51</f>
        <v>0</v>
      </c>
    </row>
    <row r="54" spans="1:17" ht="20.100000000000001" customHeight="1" thickTop="1" x14ac:dyDescent="0.2">
      <c r="Q54" s="137"/>
    </row>
    <row r="55" spans="1:17" ht="20.100000000000001" customHeight="1" x14ac:dyDescent="0.2">
      <c r="J55" s="57">
        <f>J34+J53</f>
        <v>9095374</v>
      </c>
    </row>
    <row r="57" spans="1:17" ht="20.100000000000001" customHeight="1" x14ac:dyDescent="0.2">
      <c r="B57" s="59" t="s">
        <v>25</v>
      </c>
      <c r="F57" s="28" t="s">
        <v>26</v>
      </c>
    </row>
    <row r="58" spans="1:17" ht="20.100000000000001" customHeight="1" x14ac:dyDescent="0.2">
      <c r="C58" s="26" t="s">
        <v>27</v>
      </c>
      <c r="G58" s="26" t="s">
        <v>35</v>
      </c>
    </row>
    <row r="63" spans="1:17" ht="18.75" customHeight="1" x14ac:dyDescent="0.2">
      <c r="A63" s="29"/>
    </row>
    <row r="64" spans="1:17" ht="20.100000000000001" customHeight="1" x14ac:dyDescent="0.2">
      <c r="A64" s="29"/>
    </row>
    <row r="71" spans="13:14" ht="20.100000000000001" customHeight="1" x14ac:dyDescent="0.2">
      <c r="M71" s="57"/>
    </row>
    <row r="74" spans="13:14" ht="20.100000000000001" customHeight="1" x14ac:dyDescent="0.2">
      <c r="M74" s="57"/>
    </row>
    <row r="78" spans="13:14" ht="20.100000000000001" customHeight="1" x14ac:dyDescent="0.2">
      <c r="N78" s="57">
        <f>K55/1.12</f>
        <v>0</v>
      </c>
    </row>
    <row r="79" spans="13:14" ht="20.100000000000001" customHeight="1" x14ac:dyDescent="0.2">
      <c r="N79" s="57">
        <f>K56/1.12</f>
        <v>0</v>
      </c>
    </row>
  </sheetData>
  <mergeCells count="1">
    <mergeCell ref="P20:R20"/>
  </mergeCells>
  <printOptions gridLines="1"/>
  <pageMargins left="0.7" right="0.7" top="0.75" bottom="0.75" header="0.3" footer="0.3"/>
  <pageSetup scale="56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0AE9-F001-4FCF-8932-9A170C6F89D9}">
  <sheetPr codeName="Sheet8">
    <pageSetUpPr fitToPage="1"/>
  </sheetPr>
  <dimension ref="A1:U50"/>
  <sheetViews>
    <sheetView zoomScale="85" zoomScaleNormal="85" workbookViewId="0">
      <selection activeCell="L17" sqref="L17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4.42578125" style="26" customWidth="1"/>
    <col min="4" max="4" width="13" style="29" customWidth="1"/>
    <col min="5" max="6" width="9.140625" style="29"/>
    <col min="7" max="7" width="62.85546875" style="26" bestFit="1" customWidth="1"/>
    <col min="8" max="8" width="14.28515625" style="58" bestFit="1" customWidth="1"/>
    <col min="9" max="9" width="9.140625" style="58"/>
    <col min="10" max="10" width="18" style="57" customWidth="1"/>
    <col min="11" max="11" width="17" style="57" bestFit="1" customWidth="1"/>
    <col min="12" max="12" width="9.140625" style="26"/>
    <col min="13" max="13" width="14.42578125" style="26" bestFit="1" customWidth="1"/>
    <col min="14" max="14" width="12.7109375" style="26" bestFit="1" customWidth="1"/>
    <col min="15" max="15" width="15.5703125" style="26" bestFit="1" customWidth="1"/>
    <col min="16" max="16" width="12.7109375" style="26" bestFit="1" customWidth="1"/>
    <col min="17" max="17" width="14" style="26" bestFit="1" customWidth="1"/>
    <col min="18" max="18" width="17.5703125" style="26" bestFit="1" customWidth="1"/>
    <col min="19" max="19" width="17.28515625" style="26" bestFit="1" customWidth="1"/>
    <col min="20" max="20" width="14.28515625" style="26" bestFit="1" customWidth="1"/>
    <col min="21" max="21" width="17.28515625" style="26" bestFit="1" customWidth="1"/>
    <col min="22" max="16384" width="9.140625" style="26"/>
  </cols>
  <sheetData>
    <row r="1" spans="2:21" ht="20.100000000000001" customHeight="1" x14ac:dyDescent="0.2">
      <c r="B1" s="84" t="s">
        <v>24</v>
      </c>
    </row>
    <row r="2" spans="2:21" ht="20.100000000000001" customHeight="1" x14ac:dyDescent="0.2">
      <c r="B2" s="84" t="s">
        <v>1</v>
      </c>
    </row>
    <row r="3" spans="2:21" ht="20.100000000000001" customHeight="1" x14ac:dyDescent="0.2">
      <c r="B3" s="84" t="s">
        <v>209</v>
      </c>
    </row>
    <row r="5" spans="2:21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  <c r="O5" s="176" t="s">
        <v>210</v>
      </c>
      <c r="P5" s="26"/>
      <c r="Q5" s="26"/>
      <c r="R5" s="26"/>
      <c r="S5" s="26"/>
      <c r="T5" s="26"/>
      <c r="U5" s="26"/>
    </row>
    <row r="6" spans="2:21" ht="20.100000000000001" customHeight="1" x14ac:dyDescent="0.2">
      <c r="B6" s="60"/>
      <c r="K6" s="61"/>
      <c r="O6" s="29"/>
      <c r="P6" s="29"/>
      <c r="Q6" s="29"/>
      <c r="R6" s="29"/>
      <c r="S6" s="29"/>
      <c r="T6" s="29"/>
      <c r="U6" s="29"/>
    </row>
    <row r="7" spans="2:21" ht="20.100000000000001" customHeight="1" x14ac:dyDescent="0.2">
      <c r="B7" s="168">
        <v>46212</v>
      </c>
      <c r="C7" s="89" t="s">
        <v>13</v>
      </c>
      <c r="D7" s="88">
        <v>14753</v>
      </c>
      <c r="E7" s="71">
        <v>150</v>
      </c>
      <c r="F7" s="71" t="s">
        <v>12</v>
      </c>
      <c r="G7" s="147" t="s">
        <v>211</v>
      </c>
      <c r="H7" s="72">
        <v>420</v>
      </c>
      <c r="I7" s="72">
        <v>12</v>
      </c>
      <c r="J7" s="138">
        <f t="shared" ref="J7:J15" si="0">E7*H7*I7</f>
        <v>756000</v>
      </c>
      <c r="K7" s="77"/>
      <c r="O7" s="67" t="s">
        <v>2</v>
      </c>
      <c r="P7" s="67" t="s">
        <v>136</v>
      </c>
      <c r="Q7" s="67" t="s">
        <v>137</v>
      </c>
      <c r="R7" s="67" t="s">
        <v>138</v>
      </c>
      <c r="S7" s="67"/>
      <c r="T7" s="67" t="s">
        <v>139</v>
      </c>
      <c r="U7" s="67" t="s">
        <v>140</v>
      </c>
    </row>
    <row r="8" spans="2:21" ht="20.100000000000001" customHeight="1" x14ac:dyDescent="0.2">
      <c r="B8" s="75"/>
      <c r="C8" s="76"/>
      <c r="D8" s="98"/>
      <c r="E8" s="157">
        <v>50</v>
      </c>
      <c r="F8" s="71" t="s">
        <v>12</v>
      </c>
      <c r="G8" s="147" t="s">
        <v>146</v>
      </c>
      <c r="H8" s="72">
        <v>222.5</v>
      </c>
      <c r="I8" s="72">
        <v>24</v>
      </c>
      <c r="J8" s="138">
        <f t="shared" ref="J8:J14" si="1">E8*H8*I8</f>
        <v>267000</v>
      </c>
      <c r="K8" s="143"/>
      <c r="M8" s="57"/>
      <c r="N8" s="57"/>
      <c r="O8" s="69">
        <v>46212</v>
      </c>
      <c r="P8" s="71">
        <v>14753</v>
      </c>
      <c r="Q8" s="73"/>
      <c r="R8" s="73">
        <v>3128450</v>
      </c>
      <c r="S8" s="73">
        <f>R8/1.12</f>
        <v>2793258.9285714282</v>
      </c>
      <c r="T8" s="73">
        <f>S8*0.01</f>
        <v>27932.589285714283</v>
      </c>
      <c r="U8" s="73">
        <f>R8-T8</f>
        <v>3100517.4107142859</v>
      </c>
    </row>
    <row r="9" spans="2:21" ht="20.100000000000001" customHeight="1" x14ac:dyDescent="0.2">
      <c r="B9" s="60"/>
      <c r="D9" s="136"/>
      <c r="E9" s="157">
        <v>50</v>
      </c>
      <c r="F9" s="71" t="s">
        <v>12</v>
      </c>
      <c r="G9" s="147" t="s">
        <v>147</v>
      </c>
      <c r="H9" s="72">
        <v>120</v>
      </c>
      <c r="I9" s="72">
        <v>36</v>
      </c>
      <c r="J9" s="138">
        <f t="shared" si="1"/>
        <v>216000</v>
      </c>
      <c r="K9" s="143"/>
      <c r="M9" s="57"/>
      <c r="O9" s="69"/>
      <c r="P9" s="71"/>
      <c r="Q9" s="73"/>
      <c r="R9" s="73"/>
      <c r="S9" s="73"/>
      <c r="T9" s="73"/>
      <c r="U9" s="73"/>
    </row>
    <row r="10" spans="2:21" ht="20.100000000000001" customHeight="1" x14ac:dyDescent="0.2">
      <c r="B10" s="60"/>
      <c r="D10" s="136"/>
      <c r="E10" s="157">
        <v>100</v>
      </c>
      <c r="F10" s="71" t="s">
        <v>12</v>
      </c>
      <c r="G10" s="147" t="s">
        <v>30</v>
      </c>
      <c r="H10" s="72">
        <v>335</v>
      </c>
      <c r="I10" s="72">
        <v>12</v>
      </c>
      <c r="J10" s="138">
        <f t="shared" si="1"/>
        <v>402000</v>
      </c>
      <c r="K10" s="143"/>
      <c r="M10" s="57"/>
      <c r="O10" s="69">
        <v>46220</v>
      </c>
      <c r="P10" s="71">
        <v>14766</v>
      </c>
      <c r="Q10" s="73"/>
      <c r="R10" s="73">
        <v>3426000</v>
      </c>
      <c r="S10" s="73">
        <f>R10/1.12</f>
        <v>3058928.5714285714</v>
      </c>
      <c r="T10" s="73">
        <f>S10*0.01</f>
        <v>30589.285714285714</v>
      </c>
      <c r="U10" s="73">
        <f>R10-T10</f>
        <v>3395410.7142857141</v>
      </c>
    </row>
    <row r="11" spans="2:21" ht="20.100000000000001" customHeight="1" x14ac:dyDescent="0.2">
      <c r="B11" s="60"/>
      <c r="D11" s="136"/>
      <c r="E11" s="157">
        <v>50</v>
      </c>
      <c r="F11" s="71" t="s">
        <v>12</v>
      </c>
      <c r="G11" s="147" t="s">
        <v>89</v>
      </c>
      <c r="H11" s="72">
        <v>180</v>
      </c>
      <c r="I11" s="72">
        <v>24</v>
      </c>
      <c r="J11" s="138">
        <f t="shared" si="1"/>
        <v>216000</v>
      </c>
      <c r="K11" s="143"/>
      <c r="M11" s="57"/>
      <c r="O11" s="69"/>
      <c r="P11" s="71"/>
      <c r="Q11" s="73"/>
      <c r="R11" s="73"/>
      <c r="S11" s="73"/>
      <c r="T11" s="73"/>
      <c r="U11" s="73"/>
    </row>
    <row r="12" spans="2:21" ht="20.100000000000001" customHeight="1" x14ac:dyDescent="0.2">
      <c r="B12" s="60"/>
      <c r="D12" s="136"/>
      <c r="E12" s="157">
        <v>30</v>
      </c>
      <c r="F12" s="71" t="s">
        <v>12</v>
      </c>
      <c r="G12" s="147" t="s">
        <v>109</v>
      </c>
      <c r="H12" s="72">
        <v>98.75</v>
      </c>
      <c r="I12" s="72">
        <v>36</v>
      </c>
      <c r="J12" s="138">
        <f t="shared" si="1"/>
        <v>106650</v>
      </c>
      <c r="K12" s="143"/>
      <c r="M12" s="57"/>
      <c r="N12" s="57"/>
      <c r="O12" s="69">
        <v>46212</v>
      </c>
      <c r="P12" s="71">
        <v>14754</v>
      </c>
      <c r="Q12" s="73"/>
      <c r="R12" s="73">
        <v>861600</v>
      </c>
      <c r="S12" s="73">
        <f>R12/1.12</f>
        <v>769285.7142857142</v>
      </c>
      <c r="T12" s="73">
        <f>S12*0.01</f>
        <v>7692.8571428571422</v>
      </c>
      <c r="U12" s="73">
        <f>R12-T12</f>
        <v>853907.14285714284</v>
      </c>
    </row>
    <row r="13" spans="2:21" ht="19.5" customHeight="1" x14ac:dyDescent="0.2">
      <c r="B13" s="60"/>
      <c r="D13" s="136"/>
      <c r="E13" s="157">
        <v>50</v>
      </c>
      <c r="F13" s="71" t="s">
        <v>12</v>
      </c>
      <c r="G13" s="147" t="s">
        <v>212</v>
      </c>
      <c r="H13" s="72">
        <v>116.5</v>
      </c>
      <c r="I13" s="72">
        <v>24</v>
      </c>
      <c r="J13" s="138">
        <f t="shared" si="1"/>
        <v>139800</v>
      </c>
      <c r="K13" s="143"/>
      <c r="M13" s="57"/>
      <c r="O13" s="69"/>
      <c r="P13" s="71"/>
      <c r="Q13" s="73"/>
      <c r="R13" s="73"/>
      <c r="S13" s="73"/>
      <c r="T13" s="73"/>
      <c r="U13" s="73"/>
    </row>
    <row r="14" spans="2:21" ht="20.100000000000001" customHeight="1" x14ac:dyDescent="0.2">
      <c r="B14" s="60"/>
      <c r="D14" s="136"/>
      <c r="E14" s="157">
        <v>100</v>
      </c>
      <c r="F14" s="71" t="s">
        <v>12</v>
      </c>
      <c r="G14" s="70" t="s">
        <v>73</v>
      </c>
      <c r="H14" s="72">
        <v>845</v>
      </c>
      <c r="I14" s="72">
        <v>10</v>
      </c>
      <c r="J14" s="138">
        <f t="shared" si="1"/>
        <v>845000</v>
      </c>
      <c r="K14" s="143"/>
      <c r="M14" s="57"/>
      <c r="O14" s="69"/>
      <c r="P14" s="71"/>
      <c r="Q14" s="73"/>
      <c r="R14" s="73"/>
      <c r="S14" s="73"/>
      <c r="T14" s="73"/>
      <c r="U14" s="73"/>
    </row>
    <row r="15" spans="2:21" ht="20.100000000000001" customHeight="1" x14ac:dyDescent="0.2">
      <c r="B15" s="63"/>
      <c r="C15" s="64"/>
      <c r="D15" s="99"/>
      <c r="E15" s="157">
        <v>100</v>
      </c>
      <c r="F15" s="71" t="s">
        <v>12</v>
      </c>
      <c r="G15" s="147" t="s">
        <v>213</v>
      </c>
      <c r="H15" s="72">
        <v>75</v>
      </c>
      <c r="I15" s="72">
        <v>24</v>
      </c>
      <c r="J15" s="138">
        <f t="shared" si="0"/>
        <v>180000</v>
      </c>
      <c r="K15" s="141">
        <f>SUM(J7:J15)</f>
        <v>3128450</v>
      </c>
      <c r="M15" s="57">
        <v>4</v>
      </c>
      <c r="O15" s="71"/>
      <c r="P15" s="71"/>
      <c r="Q15" s="73"/>
      <c r="R15" s="73"/>
      <c r="S15" s="70"/>
      <c r="T15" s="70"/>
      <c r="U15" s="70"/>
    </row>
    <row r="16" spans="2:21" ht="20.100000000000001" customHeight="1" x14ac:dyDescent="0.2">
      <c r="B16" s="60"/>
      <c r="G16" s="19"/>
      <c r="H16" s="29"/>
      <c r="J16" s="96"/>
      <c r="K16" s="155"/>
      <c r="M16" s="57"/>
      <c r="O16" s="198" t="s">
        <v>141</v>
      </c>
      <c r="P16" s="199"/>
      <c r="Q16" s="200"/>
      <c r="R16" s="74">
        <f>SUM(R8:R15)</f>
        <v>7416050</v>
      </c>
      <c r="S16" s="74">
        <f>SUM(S8:S15)</f>
        <v>6621473.2142857146</v>
      </c>
      <c r="T16" s="74">
        <f>SUM(T8:T15)</f>
        <v>66214.732142857145</v>
      </c>
      <c r="U16" s="74">
        <f>SUM(U8:U15)</f>
        <v>7349835.2678571427</v>
      </c>
    </row>
    <row r="17" spans="2:18" ht="20.100000000000001" customHeight="1" x14ac:dyDescent="0.2">
      <c r="B17" s="69">
        <v>46220</v>
      </c>
      <c r="C17" s="70" t="s">
        <v>13</v>
      </c>
      <c r="D17" s="71">
        <v>14766</v>
      </c>
      <c r="E17" s="71">
        <v>300</v>
      </c>
      <c r="F17" s="71" t="s">
        <v>12</v>
      </c>
      <c r="G17" s="147" t="s">
        <v>215</v>
      </c>
      <c r="H17" s="72">
        <v>57.5</v>
      </c>
      <c r="I17" s="72">
        <v>60</v>
      </c>
      <c r="J17" s="138">
        <f t="shared" ref="J17:J23" si="2">E17*H17*I17</f>
        <v>1035000</v>
      </c>
      <c r="K17" s="140"/>
    </row>
    <row r="18" spans="2:18" ht="20.100000000000001" customHeight="1" x14ac:dyDescent="0.2">
      <c r="B18" s="60"/>
      <c r="E18" s="71">
        <v>50</v>
      </c>
      <c r="F18" s="71" t="s">
        <v>12</v>
      </c>
      <c r="G18" s="147" t="s">
        <v>150</v>
      </c>
      <c r="H18" s="72">
        <v>655</v>
      </c>
      <c r="I18" s="72">
        <v>12</v>
      </c>
      <c r="J18" s="138">
        <f t="shared" si="2"/>
        <v>393000</v>
      </c>
      <c r="K18" s="140"/>
      <c r="Q18" s="29" t="s">
        <v>143</v>
      </c>
      <c r="R18" s="57">
        <f>R16</f>
        <v>7416050</v>
      </c>
    </row>
    <row r="19" spans="2:18" ht="20.100000000000001" customHeight="1" x14ac:dyDescent="0.2">
      <c r="B19" s="60"/>
      <c r="E19" s="71">
        <v>100</v>
      </c>
      <c r="F19" s="71" t="s">
        <v>12</v>
      </c>
      <c r="G19" s="147" t="s">
        <v>214</v>
      </c>
      <c r="H19" s="72">
        <v>360</v>
      </c>
      <c r="I19" s="72">
        <v>12</v>
      </c>
      <c r="J19" s="138">
        <f t="shared" si="2"/>
        <v>432000</v>
      </c>
      <c r="K19" s="140"/>
      <c r="Q19" s="29" t="s">
        <v>144</v>
      </c>
      <c r="R19" s="57">
        <v>15292850</v>
      </c>
    </row>
    <row r="20" spans="2:18" ht="20.100000000000001" customHeight="1" thickBot="1" x14ac:dyDescent="0.25">
      <c r="B20" s="63"/>
      <c r="C20" s="64"/>
      <c r="D20" s="65"/>
      <c r="E20" s="71">
        <v>150</v>
      </c>
      <c r="F20" s="71" t="s">
        <v>12</v>
      </c>
      <c r="G20" s="70" t="s">
        <v>81</v>
      </c>
      <c r="H20" s="72">
        <v>435</v>
      </c>
      <c r="I20" s="72">
        <v>24</v>
      </c>
      <c r="J20" s="138">
        <f t="shared" si="2"/>
        <v>1566000</v>
      </c>
      <c r="K20" s="141">
        <f>SUM(J17:J20)</f>
        <v>3426000</v>
      </c>
      <c r="M20" s="57">
        <v>4</v>
      </c>
      <c r="R20" s="180">
        <f>R18/R19</f>
        <v>0.48493577063791249</v>
      </c>
    </row>
    <row r="21" spans="2:18" ht="20.100000000000001" customHeight="1" thickTop="1" x14ac:dyDescent="0.2">
      <c r="B21" s="60"/>
      <c r="E21" s="192"/>
      <c r="F21" s="192"/>
      <c r="G21" s="76"/>
      <c r="H21" s="193"/>
      <c r="I21" s="193"/>
      <c r="J21" s="194"/>
      <c r="K21" s="140"/>
      <c r="M21" s="57"/>
    </row>
    <row r="22" spans="2:18" ht="20.100000000000001" customHeight="1" x14ac:dyDescent="0.2">
      <c r="B22" s="69">
        <v>46234</v>
      </c>
      <c r="C22" s="70" t="s">
        <v>13</v>
      </c>
      <c r="D22" s="71">
        <v>14789</v>
      </c>
      <c r="E22" s="71">
        <v>500</v>
      </c>
      <c r="F22" s="71" t="s">
        <v>12</v>
      </c>
      <c r="G22" s="70" t="s">
        <v>31</v>
      </c>
      <c r="H22" s="72">
        <v>215</v>
      </c>
      <c r="I22" s="72">
        <v>12</v>
      </c>
      <c r="J22" s="138">
        <f t="shared" si="2"/>
        <v>1290000</v>
      </c>
      <c r="K22" s="140"/>
      <c r="M22" s="57"/>
    </row>
    <row r="23" spans="2:18" ht="20.100000000000001" customHeight="1" x14ac:dyDescent="0.2">
      <c r="B23" s="63"/>
      <c r="C23" s="64"/>
      <c r="D23" s="65"/>
      <c r="E23" s="71">
        <v>500</v>
      </c>
      <c r="F23" s="71" t="s">
        <v>12</v>
      </c>
      <c r="G23" s="70" t="s">
        <v>80</v>
      </c>
      <c r="H23" s="72">
        <v>845</v>
      </c>
      <c r="I23" s="72">
        <v>12</v>
      </c>
      <c r="J23" s="138">
        <f t="shared" si="2"/>
        <v>5070000</v>
      </c>
      <c r="K23" s="141">
        <f>SUM(J22:J23)</f>
        <v>6360000</v>
      </c>
      <c r="M23" s="57">
        <v>6</v>
      </c>
    </row>
    <row r="24" spans="2:18" ht="20.100000000000001" customHeight="1" x14ac:dyDescent="0.2">
      <c r="B24" s="63"/>
      <c r="C24" s="64"/>
      <c r="D24" s="65"/>
      <c r="E24" s="65"/>
      <c r="F24" s="65"/>
      <c r="G24" s="64"/>
      <c r="H24" s="195"/>
      <c r="I24" s="195"/>
      <c r="J24" s="196"/>
      <c r="K24" s="197"/>
    </row>
    <row r="25" spans="2:18" ht="20.100000000000001" customHeight="1" thickBot="1" x14ac:dyDescent="0.25">
      <c r="B25" s="63"/>
      <c r="C25" s="64"/>
      <c r="D25" s="65"/>
      <c r="E25" s="65"/>
      <c r="F25" s="81"/>
      <c r="G25" s="191"/>
      <c r="H25" s="82"/>
      <c r="I25" s="188" t="s">
        <v>83</v>
      </c>
      <c r="J25" s="189">
        <f>SUM(J7:J24)</f>
        <v>12914450</v>
      </c>
      <c r="K25" s="190">
        <f>J25-K15-K20-K23</f>
        <v>0</v>
      </c>
    </row>
    <row r="26" spans="2:18" ht="20.100000000000001" customHeight="1" thickTop="1" x14ac:dyDescent="0.2"/>
    <row r="28" spans="2:18" ht="20.100000000000001" customHeight="1" x14ac:dyDescent="0.2">
      <c r="B28" s="59" t="s">
        <v>25</v>
      </c>
      <c r="F28" s="28" t="s">
        <v>26</v>
      </c>
    </row>
    <row r="29" spans="2:18" ht="20.100000000000001" customHeight="1" x14ac:dyDescent="0.2">
      <c r="C29" s="26" t="s">
        <v>27</v>
      </c>
      <c r="G29" s="26" t="s">
        <v>35</v>
      </c>
    </row>
    <row r="34" spans="1:20" ht="20.100000000000001" customHeight="1" x14ac:dyDescent="0.2">
      <c r="B34" s="84" t="s">
        <v>23</v>
      </c>
    </row>
    <row r="35" spans="1:20" ht="20.100000000000001" customHeight="1" x14ac:dyDescent="0.2">
      <c r="B35" s="84" t="s">
        <v>1</v>
      </c>
    </row>
    <row r="36" spans="1:20" ht="20.100000000000001" customHeight="1" x14ac:dyDescent="0.2">
      <c r="B36" s="84" t="s">
        <v>209</v>
      </c>
    </row>
    <row r="38" spans="1:20" ht="20.100000000000001" customHeight="1" x14ac:dyDescent="0.2">
      <c r="B38" s="66" t="s">
        <v>2</v>
      </c>
      <c r="C38" s="67" t="s">
        <v>3</v>
      </c>
      <c r="D38" s="67" t="s">
        <v>4</v>
      </c>
      <c r="E38" s="67" t="s">
        <v>21</v>
      </c>
      <c r="F38" s="67" t="s">
        <v>6</v>
      </c>
      <c r="G38" s="67" t="s">
        <v>7</v>
      </c>
      <c r="H38" s="68" t="s">
        <v>8</v>
      </c>
      <c r="I38" s="68" t="s">
        <v>9</v>
      </c>
      <c r="J38" s="68" t="s">
        <v>10</v>
      </c>
      <c r="K38" s="68" t="s">
        <v>22</v>
      </c>
    </row>
    <row r="39" spans="1:20" ht="18.75" customHeight="1" x14ac:dyDescent="0.2">
      <c r="A39" s="29"/>
      <c r="B39" s="60"/>
      <c r="K39" s="61"/>
    </row>
    <row r="40" spans="1:20" ht="20.100000000000001" customHeight="1" x14ac:dyDescent="0.2">
      <c r="A40" s="29"/>
      <c r="B40" s="69">
        <v>46212</v>
      </c>
      <c r="C40" s="70" t="s">
        <v>13</v>
      </c>
      <c r="D40" s="71">
        <v>14754</v>
      </c>
      <c r="E40" s="71">
        <v>100</v>
      </c>
      <c r="F40" s="71" t="s">
        <v>12</v>
      </c>
      <c r="G40" s="70" t="s">
        <v>131</v>
      </c>
      <c r="H40" s="72">
        <v>359</v>
      </c>
      <c r="I40" s="72">
        <v>24</v>
      </c>
      <c r="J40" s="95">
        <f t="shared" ref="J40" si="3">E40*H40*I40</f>
        <v>861600</v>
      </c>
      <c r="K40" s="74">
        <f t="shared" ref="K40" si="4">J40</f>
        <v>861600</v>
      </c>
      <c r="M40" s="57">
        <v>1</v>
      </c>
    </row>
    <row r="41" spans="1:20" ht="20.100000000000001" customHeight="1" x14ac:dyDescent="0.2">
      <c r="B41" s="60"/>
      <c r="K41" s="61"/>
    </row>
    <row r="42" spans="1:20" ht="18.75" customHeight="1" x14ac:dyDescent="0.2">
      <c r="A42" s="29"/>
      <c r="B42" s="69">
        <v>46220</v>
      </c>
      <c r="C42" s="70" t="s">
        <v>13</v>
      </c>
      <c r="D42" s="71">
        <v>14765</v>
      </c>
      <c r="E42" s="71">
        <v>100</v>
      </c>
      <c r="F42" s="71" t="s">
        <v>12</v>
      </c>
      <c r="G42" s="70" t="s">
        <v>131</v>
      </c>
      <c r="H42" s="72">
        <v>359</v>
      </c>
      <c r="I42" s="86">
        <v>24</v>
      </c>
      <c r="J42" s="138">
        <f>E42*H42*I42</f>
        <v>861600</v>
      </c>
      <c r="K42" s="85"/>
    </row>
    <row r="43" spans="1:20" ht="20.100000000000001" customHeight="1" x14ac:dyDescent="0.2">
      <c r="A43" s="29"/>
      <c r="B43" s="63"/>
      <c r="C43" s="64"/>
      <c r="D43" s="65"/>
      <c r="E43" s="71">
        <v>100</v>
      </c>
      <c r="F43" s="71" t="s">
        <v>12</v>
      </c>
      <c r="G43" s="70" t="s">
        <v>112</v>
      </c>
      <c r="H43" s="72">
        <v>273</v>
      </c>
      <c r="I43" s="139">
        <v>24</v>
      </c>
      <c r="J43" s="138">
        <f>E43*H43*I43</f>
        <v>655200</v>
      </c>
      <c r="K43" s="74">
        <f>SUM(J42:J43)</f>
        <v>1516800</v>
      </c>
      <c r="M43" s="57">
        <v>2</v>
      </c>
      <c r="N43" s="57"/>
    </row>
    <row r="44" spans="1:20" ht="20.100000000000001" customHeight="1" x14ac:dyDescent="0.2">
      <c r="B44" s="60"/>
      <c r="K44" s="61"/>
    </row>
    <row r="45" spans="1:20" ht="20.100000000000001" customHeight="1" thickBot="1" x14ac:dyDescent="0.25">
      <c r="B45" s="79"/>
      <c r="C45" s="80"/>
      <c r="D45" s="81"/>
      <c r="E45" s="81"/>
      <c r="F45" s="81"/>
      <c r="G45" s="80"/>
      <c r="H45" s="82"/>
      <c r="I45" s="83" t="s">
        <v>93</v>
      </c>
      <c r="J45" s="90">
        <f>SUM(J39:J44)</f>
        <v>2378400</v>
      </c>
      <c r="K45" s="78">
        <f>J45-K43-K40</f>
        <v>0</v>
      </c>
    </row>
    <row r="46" spans="1:20" ht="20.100000000000001" customHeight="1" thickTop="1" x14ac:dyDescent="0.2">
      <c r="J46" s="57">
        <f>J45+K15+K20+K23</f>
        <v>15292850</v>
      </c>
    </row>
    <row r="47" spans="1:20" ht="20.100000000000001" customHeight="1" x14ac:dyDescent="0.2">
      <c r="J47" s="57">
        <f>J46*0.51</f>
        <v>7799353.5</v>
      </c>
      <c r="M47" s="57">
        <f>K15+K20</f>
        <v>6554450</v>
      </c>
    </row>
    <row r="48" spans="1:20" ht="20.100000000000001" customHeight="1" x14ac:dyDescent="0.2">
      <c r="R48" s="57"/>
      <c r="S48" s="57"/>
      <c r="T48" s="57"/>
    </row>
    <row r="49" spans="2:7" ht="20.100000000000001" customHeight="1" x14ac:dyDescent="0.2">
      <c r="B49" s="59" t="s">
        <v>25</v>
      </c>
      <c r="F49" s="28" t="s">
        <v>26</v>
      </c>
    </row>
    <row r="50" spans="2:7" ht="20.100000000000001" customHeight="1" x14ac:dyDescent="0.2">
      <c r="C50" s="26" t="s">
        <v>27</v>
      </c>
      <c r="G50" s="26" t="s">
        <v>35</v>
      </c>
    </row>
  </sheetData>
  <mergeCells count="1">
    <mergeCell ref="O16:Q16"/>
  </mergeCells>
  <printOptions gridLines="1"/>
  <pageMargins left="0.7" right="0.7" top="0.75" bottom="0.75" header="0.3" footer="0.3"/>
  <pageSetup scale="56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86CD-920E-4124-9A85-145A470046FC}">
  <sheetPr codeName="Sheet9">
    <pageSetUpPr fitToPage="1"/>
  </sheetPr>
  <dimension ref="A1:U57"/>
  <sheetViews>
    <sheetView tabSelected="1" zoomScaleNormal="100" workbookViewId="0">
      <selection activeCell="H8" sqref="H8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4.42578125" style="26" customWidth="1"/>
    <col min="4" max="4" width="13" style="29" customWidth="1"/>
    <col min="5" max="6" width="9.140625" style="29"/>
    <col min="7" max="7" width="62.85546875" style="26" bestFit="1" customWidth="1"/>
    <col min="8" max="8" width="14.28515625" style="58" bestFit="1" customWidth="1"/>
    <col min="9" max="9" width="9.140625" style="58"/>
    <col min="10" max="10" width="18" style="57" customWidth="1"/>
    <col min="11" max="11" width="17" style="57" bestFit="1" customWidth="1"/>
    <col min="12" max="12" width="9.140625" style="26"/>
    <col min="13" max="13" width="14.42578125" style="26" bestFit="1" customWidth="1"/>
    <col min="14" max="14" width="9.140625" style="26"/>
    <col min="15" max="15" width="15.5703125" style="26" bestFit="1" customWidth="1"/>
    <col min="16" max="16" width="13.85546875" style="26" customWidth="1"/>
    <col min="17" max="17" width="14.42578125" style="26" customWidth="1"/>
    <col min="18" max="18" width="17.5703125" style="26" bestFit="1" customWidth="1"/>
    <col min="19" max="19" width="16" style="26" bestFit="1" customWidth="1"/>
    <col min="20" max="20" width="12.85546875" style="26" bestFit="1" customWidth="1"/>
    <col min="21" max="21" width="16" style="26" bestFit="1" customWidth="1"/>
    <col min="22" max="16384" width="9.140625" style="26"/>
  </cols>
  <sheetData>
    <row r="1" spans="2:21" ht="20.100000000000001" customHeight="1" x14ac:dyDescent="0.2">
      <c r="B1" s="84" t="s">
        <v>24</v>
      </c>
    </row>
    <row r="2" spans="2:21" ht="20.100000000000001" customHeight="1" x14ac:dyDescent="0.2">
      <c r="B2" s="84" t="s">
        <v>1</v>
      </c>
    </row>
    <row r="3" spans="2:21" ht="20.100000000000001" customHeight="1" x14ac:dyDescent="0.2">
      <c r="B3" s="84" t="s">
        <v>216</v>
      </c>
    </row>
    <row r="5" spans="2:21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  <c r="O5" s="176" t="s">
        <v>217</v>
      </c>
      <c r="P5" s="26"/>
      <c r="Q5" s="26"/>
      <c r="R5" s="26"/>
      <c r="S5" s="26"/>
      <c r="T5" s="26"/>
      <c r="U5" s="26"/>
    </row>
    <row r="6" spans="2:21" ht="20.100000000000001" customHeight="1" x14ac:dyDescent="0.2">
      <c r="B6" s="60"/>
      <c r="J6" s="96"/>
      <c r="K6" s="155"/>
      <c r="O6" s="29"/>
      <c r="P6" s="29"/>
      <c r="Q6" s="29"/>
      <c r="R6" s="29"/>
      <c r="S6" s="29"/>
      <c r="T6" s="29"/>
      <c r="U6" s="29"/>
    </row>
    <row r="7" spans="2:21" ht="20.100000000000001" customHeight="1" x14ac:dyDescent="0.2">
      <c r="B7" s="69">
        <v>46237</v>
      </c>
      <c r="C7" s="70" t="s">
        <v>72</v>
      </c>
      <c r="D7" s="71" t="s">
        <v>220</v>
      </c>
      <c r="E7" s="148">
        <v>200</v>
      </c>
      <c r="F7" s="71" t="s">
        <v>12</v>
      </c>
      <c r="G7" s="70" t="s">
        <v>221</v>
      </c>
      <c r="H7" s="72">
        <v>205</v>
      </c>
      <c r="I7" s="72">
        <v>12</v>
      </c>
      <c r="J7" s="138">
        <f t="shared" ref="J7" si="0">E7*H7*I7</f>
        <v>492000</v>
      </c>
      <c r="K7" s="143">
        <f>J7</f>
        <v>492000</v>
      </c>
      <c r="O7" s="67" t="s">
        <v>2</v>
      </c>
      <c r="P7" s="67" t="s">
        <v>136</v>
      </c>
      <c r="Q7" s="67" t="s">
        <v>137</v>
      </c>
      <c r="R7" s="67" t="s">
        <v>138</v>
      </c>
      <c r="S7" s="67"/>
      <c r="T7" s="67" t="s">
        <v>139</v>
      </c>
      <c r="U7" s="67" t="s">
        <v>140</v>
      </c>
    </row>
    <row r="8" spans="2:21" ht="20.100000000000001" customHeight="1" x14ac:dyDescent="0.2">
      <c r="B8" s="60"/>
      <c r="J8" s="96"/>
      <c r="K8" s="155"/>
      <c r="O8" s="69">
        <v>45888</v>
      </c>
      <c r="P8" s="71">
        <v>14058</v>
      </c>
      <c r="Q8" s="73"/>
      <c r="R8" s="73">
        <v>516600</v>
      </c>
      <c r="S8" s="73">
        <f>R8/1.12</f>
        <v>461249.99999999994</v>
      </c>
      <c r="T8" s="73">
        <f>S8*0.01</f>
        <v>4612.4999999999991</v>
      </c>
      <c r="U8" s="73">
        <f>R8-T8</f>
        <v>511987.5</v>
      </c>
    </row>
    <row r="9" spans="2:21" ht="20.100000000000001" customHeight="1" x14ac:dyDescent="0.2">
      <c r="B9" s="69">
        <v>46245</v>
      </c>
      <c r="C9" s="70" t="s">
        <v>13</v>
      </c>
      <c r="D9" s="71" t="s">
        <v>218</v>
      </c>
      <c r="E9" s="148">
        <v>150</v>
      </c>
      <c r="F9" s="71" t="s">
        <v>12</v>
      </c>
      <c r="G9" s="70" t="s">
        <v>98</v>
      </c>
      <c r="H9" s="72">
        <v>220</v>
      </c>
      <c r="I9" s="72">
        <v>12</v>
      </c>
      <c r="J9" s="138">
        <f t="shared" ref="J9:J16" si="1">E9*H9*I9</f>
        <v>396000</v>
      </c>
      <c r="K9" s="140"/>
      <c r="O9" s="69"/>
      <c r="P9" s="71"/>
      <c r="Q9" s="73"/>
      <c r="R9" s="73"/>
      <c r="S9" s="73"/>
      <c r="T9" s="73"/>
      <c r="U9" s="73"/>
    </row>
    <row r="10" spans="2:21" ht="20.100000000000001" customHeight="1" x14ac:dyDescent="0.2">
      <c r="B10" s="63"/>
      <c r="C10" s="64"/>
      <c r="D10" s="99"/>
      <c r="E10" s="181">
        <v>100</v>
      </c>
      <c r="F10" s="71" t="s">
        <v>12</v>
      </c>
      <c r="G10" s="70" t="s">
        <v>99</v>
      </c>
      <c r="H10" s="72">
        <v>787.5</v>
      </c>
      <c r="I10" s="72">
        <v>6</v>
      </c>
      <c r="J10" s="138">
        <f t="shared" ref="J10" si="2">E10*H10*I10</f>
        <v>472500</v>
      </c>
      <c r="K10" s="141">
        <f>SUM(J9:J10)</f>
        <v>868500</v>
      </c>
      <c r="O10" s="69">
        <v>45898</v>
      </c>
      <c r="P10" s="71">
        <v>14087</v>
      </c>
      <c r="Q10" s="73"/>
      <c r="R10" s="73">
        <v>2028000</v>
      </c>
      <c r="S10" s="73">
        <f>R10/1.12</f>
        <v>1810714.2857142854</v>
      </c>
      <c r="T10" s="73">
        <f>S10*0.01</f>
        <v>18107.142857142855</v>
      </c>
      <c r="U10" s="73">
        <f>R10-T10</f>
        <v>2009892.857142857</v>
      </c>
    </row>
    <row r="11" spans="2:21" ht="20.100000000000001" customHeight="1" x14ac:dyDescent="0.2">
      <c r="B11" s="60"/>
      <c r="E11" s="19"/>
      <c r="J11" s="96"/>
      <c r="K11" s="142"/>
      <c r="M11" s="57">
        <v>1</v>
      </c>
      <c r="O11" s="69"/>
      <c r="P11" s="71"/>
      <c r="Q11" s="73"/>
      <c r="R11" s="73"/>
      <c r="S11" s="73"/>
      <c r="T11" s="73"/>
      <c r="U11" s="73"/>
    </row>
    <row r="12" spans="2:21" ht="20.100000000000001" customHeight="1" x14ac:dyDescent="0.2">
      <c r="B12" s="69">
        <v>46253</v>
      </c>
      <c r="C12" s="70" t="s">
        <v>145</v>
      </c>
      <c r="D12" s="71" t="s">
        <v>219</v>
      </c>
      <c r="E12" s="148">
        <v>100</v>
      </c>
      <c r="F12" s="71" t="s">
        <v>12</v>
      </c>
      <c r="G12" s="70" t="s">
        <v>222</v>
      </c>
      <c r="H12" s="72">
        <v>223</v>
      </c>
      <c r="I12" s="72">
        <v>24</v>
      </c>
      <c r="J12" s="138">
        <f t="shared" si="1"/>
        <v>535200</v>
      </c>
      <c r="K12" s="143">
        <f>J12</f>
        <v>535200</v>
      </c>
      <c r="M12" s="57"/>
      <c r="O12" s="71"/>
      <c r="P12" s="71"/>
      <c r="Q12" s="73"/>
      <c r="R12" s="73"/>
      <c r="S12" s="70"/>
      <c r="T12" s="70"/>
      <c r="U12" s="70"/>
    </row>
    <row r="13" spans="2:21" ht="20.100000000000001" customHeight="1" x14ac:dyDescent="0.2">
      <c r="B13" s="60"/>
      <c r="E13" s="19"/>
      <c r="J13" s="96"/>
      <c r="K13" s="142"/>
      <c r="M13" s="57">
        <v>1</v>
      </c>
      <c r="O13" s="198" t="s">
        <v>141</v>
      </c>
      <c r="P13" s="199"/>
      <c r="Q13" s="200"/>
      <c r="R13" s="74">
        <f>SUM(R8:R12)</f>
        <v>2544600</v>
      </c>
      <c r="S13" s="74">
        <f>SUM(S8:S12)</f>
        <v>2271964.2857142854</v>
      </c>
      <c r="T13" s="74">
        <f>SUM(T8:T12)</f>
        <v>22719.642857142855</v>
      </c>
      <c r="U13" s="74">
        <f>SUM(U8:U12)</f>
        <v>2521880.3571428573</v>
      </c>
    </row>
    <row r="14" spans="2:21" ht="20.100000000000001" customHeight="1" x14ac:dyDescent="0.2">
      <c r="B14" s="69"/>
      <c r="C14" s="70"/>
      <c r="D14" s="71"/>
      <c r="E14" s="148"/>
      <c r="F14" s="71"/>
      <c r="G14" s="70"/>
      <c r="H14" s="72"/>
      <c r="I14" s="72"/>
      <c r="J14" s="138">
        <f t="shared" si="1"/>
        <v>0</v>
      </c>
      <c r="K14" s="140"/>
      <c r="M14" s="57"/>
    </row>
    <row r="15" spans="2:21" ht="20.100000000000001" customHeight="1" x14ac:dyDescent="0.2">
      <c r="B15" s="60"/>
      <c r="E15" s="148"/>
      <c r="F15" s="71"/>
      <c r="G15" s="70"/>
      <c r="H15" s="72"/>
      <c r="I15" s="72"/>
      <c r="J15" s="138">
        <f t="shared" si="1"/>
        <v>0</v>
      </c>
      <c r="K15" s="140"/>
      <c r="M15" s="57"/>
      <c r="Q15" s="29" t="s">
        <v>143</v>
      </c>
      <c r="R15" s="57">
        <f>R13</f>
        <v>2544600</v>
      </c>
    </row>
    <row r="16" spans="2:21" ht="20.100000000000001" customHeight="1" x14ac:dyDescent="0.2">
      <c r="B16" s="63"/>
      <c r="C16" s="64"/>
      <c r="D16" s="65"/>
      <c r="E16" s="148"/>
      <c r="F16" s="71"/>
      <c r="G16" s="70"/>
      <c r="H16" s="72"/>
      <c r="I16" s="72"/>
      <c r="J16" s="138">
        <f t="shared" si="1"/>
        <v>0</v>
      </c>
      <c r="K16" s="141">
        <f>SUM(J14:J16)</f>
        <v>0</v>
      </c>
      <c r="M16" s="57"/>
      <c r="Q16" s="29" t="s">
        <v>144</v>
      </c>
      <c r="R16" s="57">
        <v>8509350</v>
      </c>
    </row>
    <row r="17" spans="2:18" ht="20.100000000000001" customHeight="1" thickBot="1" x14ac:dyDescent="0.25">
      <c r="B17" s="60"/>
      <c r="E17" s="19"/>
      <c r="J17" s="96"/>
      <c r="K17" s="155"/>
      <c r="M17" s="57">
        <v>7</v>
      </c>
      <c r="R17" s="180">
        <f>R15/R16</f>
        <v>0.29903576653915986</v>
      </c>
    </row>
    <row r="18" spans="2:18" ht="20.100000000000001" customHeight="1" thickTop="1" x14ac:dyDescent="0.2">
      <c r="B18" s="69"/>
      <c r="C18" s="70"/>
      <c r="D18" s="71"/>
      <c r="E18" s="148"/>
      <c r="F18" s="71"/>
      <c r="G18" s="70"/>
      <c r="H18" s="72"/>
      <c r="I18" s="72"/>
      <c r="J18" s="138">
        <f t="shared" ref="J18:J19" si="3">E18*H18*I18</f>
        <v>0</v>
      </c>
      <c r="K18" s="140"/>
      <c r="O18" s="145"/>
      <c r="P18" s="145"/>
    </row>
    <row r="19" spans="2:18" ht="20.100000000000001" customHeight="1" x14ac:dyDescent="0.2">
      <c r="B19" s="63"/>
      <c r="C19" s="64"/>
      <c r="D19" s="65"/>
      <c r="E19" s="148"/>
      <c r="F19" s="71"/>
      <c r="G19" s="70"/>
      <c r="H19" s="72"/>
      <c r="I19" s="72"/>
      <c r="J19" s="138">
        <f t="shared" si="3"/>
        <v>0</v>
      </c>
      <c r="K19" s="141">
        <f>SUM(J18:J19)</f>
        <v>0</v>
      </c>
    </row>
    <row r="20" spans="2:18" ht="20.100000000000001" customHeight="1" x14ac:dyDescent="0.2">
      <c r="B20" s="60"/>
      <c r="E20" s="19"/>
      <c r="J20" s="96"/>
      <c r="K20" s="155"/>
    </row>
    <row r="21" spans="2:18" ht="20.100000000000001" customHeight="1" x14ac:dyDescent="0.2">
      <c r="B21" s="69"/>
      <c r="C21" s="70"/>
      <c r="D21" s="71"/>
      <c r="E21" s="148"/>
      <c r="F21" s="71"/>
      <c r="G21" s="70"/>
      <c r="H21" s="72"/>
      <c r="I21" s="72"/>
      <c r="J21" s="138">
        <f t="shared" ref="J21:J22" si="4">E21*H21*I21</f>
        <v>0</v>
      </c>
      <c r="K21" s="140"/>
    </row>
    <row r="22" spans="2:18" ht="20.100000000000001" customHeight="1" x14ac:dyDescent="0.2">
      <c r="B22" s="63"/>
      <c r="C22" s="64"/>
      <c r="D22" s="65"/>
      <c r="E22" s="148"/>
      <c r="F22" s="71"/>
      <c r="G22" s="70"/>
      <c r="H22" s="72"/>
      <c r="I22" s="72"/>
      <c r="J22" s="138">
        <f t="shared" si="4"/>
        <v>0</v>
      </c>
      <c r="K22" s="141">
        <f>SUM(J21:J22)</f>
        <v>0</v>
      </c>
    </row>
    <row r="23" spans="2:18" ht="20.100000000000001" customHeight="1" x14ac:dyDescent="0.2">
      <c r="B23" s="60"/>
      <c r="E23" s="19"/>
      <c r="J23" s="96"/>
      <c r="K23" s="155"/>
      <c r="M23" s="57"/>
    </row>
    <row r="24" spans="2:18" ht="20.100000000000001" customHeight="1" x14ac:dyDescent="0.2">
      <c r="B24" s="69"/>
      <c r="C24" s="70"/>
      <c r="D24" s="71"/>
      <c r="E24" s="148"/>
      <c r="F24" s="71"/>
      <c r="G24" s="70"/>
      <c r="H24" s="72"/>
      <c r="I24" s="72"/>
      <c r="J24" s="138">
        <f t="shared" ref="J24:J25" si="5">E24*H24*I24</f>
        <v>0</v>
      </c>
      <c r="K24" s="140"/>
    </row>
    <row r="25" spans="2:18" ht="20.100000000000001" customHeight="1" x14ac:dyDescent="0.2">
      <c r="B25" s="63"/>
      <c r="C25" s="64"/>
      <c r="D25" s="65"/>
      <c r="E25" s="148"/>
      <c r="F25" s="71"/>
      <c r="G25" s="70"/>
      <c r="H25" s="72"/>
      <c r="I25" s="72"/>
      <c r="J25" s="138">
        <f t="shared" si="5"/>
        <v>0</v>
      </c>
      <c r="K25" s="141">
        <f>SUM(J24:J25)</f>
        <v>0</v>
      </c>
      <c r="O25" s="145"/>
    </row>
    <row r="26" spans="2:18" ht="20.100000000000001" customHeight="1" x14ac:dyDescent="0.2">
      <c r="B26" s="60"/>
      <c r="E26" s="19"/>
      <c r="J26" s="96"/>
      <c r="K26" s="155"/>
    </row>
    <row r="27" spans="2:18" ht="20.100000000000001" customHeight="1" thickBot="1" x14ac:dyDescent="0.25">
      <c r="B27" s="79"/>
      <c r="C27" s="80"/>
      <c r="D27" s="81"/>
      <c r="E27" s="81"/>
      <c r="F27" s="81"/>
      <c r="G27" s="80"/>
      <c r="H27" s="82"/>
      <c r="I27" s="83" t="s">
        <v>91</v>
      </c>
      <c r="J27" s="90">
        <f>SUM(J6:J26)</f>
        <v>1895700</v>
      </c>
      <c r="K27" s="78">
        <f>J27-K10-K12-K16-K22-K25-K19-K7</f>
        <v>0</v>
      </c>
    </row>
    <row r="28" spans="2:18" ht="20.100000000000001" customHeight="1" thickTop="1" x14ac:dyDescent="0.2">
      <c r="O28" s="145"/>
    </row>
    <row r="29" spans="2:18" ht="20.100000000000001" customHeight="1" x14ac:dyDescent="0.2">
      <c r="O29" s="145"/>
    </row>
    <row r="30" spans="2:18" ht="20.100000000000001" customHeight="1" x14ac:dyDescent="0.2">
      <c r="B30" s="59" t="s">
        <v>25</v>
      </c>
      <c r="F30" s="28" t="s">
        <v>26</v>
      </c>
    </row>
    <row r="31" spans="2:18" ht="20.100000000000001" customHeight="1" x14ac:dyDescent="0.2">
      <c r="C31" s="26" t="s">
        <v>27</v>
      </c>
      <c r="G31" s="26" t="s">
        <v>35</v>
      </c>
      <c r="O31" s="57"/>
    </row>
    <row r="32" spans="2:18" ht="20.100000000000001" customHeight="1" x14ac:dyDescent="0.2">
      <c r="O32" s="137"/>
      <c r="Q32" s="137"/>
    </row>
    <row r="36" spans="1:15" ht="20.100000000000001" customHeight="1" x14ac:dyDescent="0.2">
      <c r="B36" s="84" t="s">
        <v>23</v>
      </c>
    </row>
    <row r="37" spans="1:15" ht="20.100000000000001" customHeight="1" x14ac:dyDescent="0.2">
      <c r="B37" s="84" t="s">
        <v>1</v>
      </c>
    </row>
    <row r="38" spans="1:15" ht="20.100000000000001" customHeight="1" x14ac:dyDescent="0.2">
      <c r="B38" s="84" t="s">
        <v>149</v>
      </c>
    </row>
    <row r="40" spans="1:15" ht="20.100000000000001" customHeight="1" x14ac:dyDescent="0.2">
      <c r="B40" s="66" t="s">
        <v>2</v>
      </c>
      <c r="C40" s="67" t="s">
        <v>3</v>
      </c>
      <c r="D40" s="67" t="s">
        <v>4</v>
      </c>
      <c r="E40" s="67" t="s">
        <v>21</v>
      </c>
      <c r="F40" s="67" t="s">
        <v>6</v>
      </c>
      <c r="G40" s="67" t="s">
        <v>7</v>
      </c>
      <c r="H40" s="68" t="s">
        <v>8</v>
      </c>
      <c r="I40" s="68" t="s">
        <v>9</v>
      </c>
      <c r="J40" s="68" t="s">
        <v>10</v>
      </c>
      <c r="K40" s="68" t="s">
        <v>22</v>
      </c>
    </row>
    <row r="41" spans="1:15" ht="20.100000000000001" customHeight="1" x14ac:dyDescent="0.2">
      <c r="B41" s="60"/>
      <c r="K41" s="61"/>
    </row>
    <row r="42" spans="1:15" ht="18.75" customHeight="1" x14ac:dyDescent="0.2">
      <c r="A42" s="29"/>
      <c r="B42" s="69"/>
      <c r="C42" s="70"/>
      <c r="D42" s="71"/>
      <c r="E42" s="71"/>
      <c r="F42" s="71"/>
      <c r="G42" s="70"/>
      <c r="H42" s="72"/>
      <c r="I42" s="86"/>
      <c r="J42" s="138">
        <f>E42*H42*I42</f>
        <v>0</v>
      </c>
      <c r="K42" s="85"/>
    </row>
    <row r="43" spans="1:15" ht="18.75" customHeight="1" x14ac:dyDescent="0.2">
      <c r="A43" s="29"/>
      <c r="B43" s="63"/>
      <c r="C43" s="64"/>
      <c r="D43" s="65"/>
      <c r="E43" s="71"/>
      <c r="F43" s="71"/>
      <c r="G43" s="70"/>
      <c r="H43" s="139"/>
      <c r="I43" s="139"/>
      <c r="J43" s="138">
        <f>E43*H43*I43</f>
        <v>0</v>
      </c>
      <c r="K43" s="74">
        <f>SUM(J42:J43)</f>
        <v>0</v>
      </c>
    </row>
    <row r="44" spans="1:15" ht="20.100000000000001" customHeight="1" x14ac:dyDescent="0.2">
      <c r="A44" s="29"/>
      <c r="B44" s="60"/>
      <c r="K44" s="61"/>
      <c r="M44" s="57"/>
    </row>
    <row r="45" spans="1:15" ht="20.100000000000001" customHeight="1" x14ac:dyDescent="0.2">
      <c r="B45" s="69"/>
      <c r="C45" s="70"/>
      <c r="D45" s="71"/>
      <c r="E45" s="71"/>
      <c r="F45" s="71"/>
      <c r="G45" s="70"/>
      <c r="H45" s="72"/>
      <c r="I45" s="86"/>
      <c r="J45" s="138">
        <f>E45*H45*I45</f>
        <v>0</v>
      </c>
      <c r="K45" s="77">
        <f>J45</f>
        <v>0</v>
      </c>
    </row>
    <row r="46" spans="1:15" ht="20.100000000000001" customHeight="1" x14ac:dyDescent="0.2">
      <c r="B46" s="63"/>
      <c r="C46" s="64"/>
      <c r="D46" s="65"/>
      <c r="E46" s="71"/>
      <c r="F46" s="71"/>
      <c r="G46" s="70"/>
      <c r="H46" s="139"/>
      <c r="I46" s="139"/>
      <c r="J46" s="95"/>
      <c r="K46" s="74"/>
      <c r="O46" s="145"/>
    </row>
    <row r="47" spans="1:15" ht="20.100000000000001" customHeight="1" x14ac:dyDescent="0.2">
      <c r="B47" s="60"/>
      <c r="K47" s="61"/>
      <c r="M47" s="57"/>
    </row>
    <row r="48" spans="1:15" ht="20.100000000000001" customHeight="1" thickBot="1" x14ac:dyDescent="0.25">
      <c r="B48" s="79"/>
      <c r="C48" s="80"/>
      <c r="D48" s="81"/>
      <c r="E48" s="81"/>
      <c r="F48" s="81"/>
      <c r="G48" s="80"/>
      <c r="H48" s="82"/>
      <c r="I48" s="83" t="s">
        <v>94</v>
      </c>
      <c r="J48" s="90">
        <f>SUM(J41:J47)</f>
        <v>0</v>
      </c>
      <c r="K48" s="78">
        <f>J48-K45-K43</f>
        <v>0</v>
      </c>
    </row>
    <row r="49" spans="1:21" ht="20.100000000000001" customHeight="1" thickTop="1" x14ac:dyDescent="0.2">
      <c r="J49" s="57">
        <f>K10+K12+K16+K25+K43+K45</f>
        <v>1403700</v>
      </c>
      <c r="O49" s="145"/>
    </row>
    <row r="50" spans="1:21" ht="20.100000000000001" customHeight="1" x14ac:dyDescent="0.2">
      <c r="J50" s="57">
        <f>J49*0.6</f>
        <v>842220</v>
      </c>
    </row>
    <row r="51" spans="1:21" ht="20.100000000000001" customHeight="1" x14ac:dyDescent="0.2">
      <c r="M51" s="57"/>
    </row>
    <row r="52" spans="1:21" ht="20.100000000000001" customHeight="1" x14ac:dyDescent="0.2">
      <c r="B52" s="59" t="s">
        <v>25</v>
      </c>
      <c r="F52" s="28" t="s">
        <v>26</v>
      </c>
    </row>
    <row r="53" spans="1:21" ht="20.100000000000001" customHeight="1" x14ac:dyDescent="0.2">
      <c r="C53" s="26" t="s">
        <v>27</v>
      </c>
      <c r="G53" s="26" t="s">
        <v>35</v>
      </c>
    </row>
    <row r="54" spans="1:21" s="58" customFormat="1" ht="20.100000000000001" customHeight="1" x14ac:dyDescent="0.2">
      <c r="A54" s="26"/>
      <c r="B54" s="59"/>
      <c r="C54" s="26"/>
      <c r="D54" s="29"/>
      <c r="E54" s="29"/>
      <c r="F54" s="29"/>
      <c r="G54" s="26"/>
      <c r="J54" s="57"/>
      <c r="K54" s="57"/>
      <c r="L54" s="26"/>
      <c r="M54" s="26"/>
      <c r="N54" s="26"/>
      <c r="O54" s="57"/>
      <c r="P54" s="26"/>
      <c r="Q54" s="26"/>
      <c r="R54" s="26"/>
      <c r="S54" s="26"/>
      <c r="T54" s="26"/>
      <c r="U54" s="26"/>
    </row>
    <row r="57" spans="1:21" ht="20.100000000000001" customHeight="1" x14ac:dyDescent="0.2">
      <c r="R57" s="58"/>
      <c r="S57" s="58"/>
      <c r="T57" s="58"/>
      <c r="U57" s="58"/>
    </row>
  </sheetData>
  <mergeCells count="1">
    <mergeCell ref="O13:Q13"/>
  </mergeCells>
  <printOptions gridLines="1"/>
  <pageMargins left="0.7" right="0.7" top="0.75" bottom="0.75" header="0.3" footer="0.3"/>
  <pageSetup scale="56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C37A-F9EA-4569-BDC0-FB775FED0625}">
  <sheetPr codeName="Sheet10">
    <pageSetUpPr fitToPage="1"/>
  </sheetPr>
  <dimension ref="A1:V61"/>
  <sheetViews>
    <sheetView zoomScaleNormal="100" workbookViewId="0">
      <selection activeCell="G7" sqref="G7:H7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4.42578125" style="26" customWidth="1"/>
    <col min="4" max="4" width="13" style="29" customWidth="1"/>
    <col min="5" max="6" width="9.140625" style="29"/>
    <col min="7" max="7" width="62.85546875" style="26" bestFit="1" customWidth="1"/>
    <col min="8" max="8" width="14.28515625" style="58" bestFit="1" customWidth="1"/>
    <col min="9" max="9" width="9.140625" style="58"/>
    <col min="10" max="10" width="18" style="57" customWidth="1"/>
    <col min="11" max="11" width="17" style="57" bestFit="1" customWidth="1"/>
    <col min="12" max="12" width="9.140625" style="26"/>
    <col min="13" max="14" width="14.42578125" style="26" bestFit="1" customWidth="1"/>
    <col min="15" max="15" width="15.5703125" style="26" bestFit="1" customWidth="1"/>
    <col min="16" max="16" width="17" style="26" customWidth="1"/>
    <col min="17" max="17" width="11" style="26" bestFit="1" customWidth="1"/>
    <col min="18" max="18" width="14" style="26" customWidth="1"/>
    <col min="19" max="19" width="17.5703125" style="26" bestFit="1" customWidth="1"/>
    <col min="20" max="20" width="16" style="26" bestFit="1" customWidth="1"/>
    <col min="21" max="21" width="12.85546875" style="26" bestFit="1" customWidth="1"/>
    <col min="22" max="22" width="16" style="26" bestFit="1" customWidth="1"/>
    <col min="23" max="16384" width="9.140625" style="26"/>
  </cols>
  <sheetData>
    <row r="1" spans="2:22" ht="20.100000000000001" customHeight="1" x14ac:dyDescent="0.2">
      <c r="B1" s="84" t="s">
        <v>24</v>
      </c>
    </row>
    <row r="2" spans="2:22" ht="20.100000000000001" customHeight="1" x14ac:dyDescent="0.2">
      <c r="B2" s="84" t="s">
        <v>1</v>
      </c>
    </row>
    <row r="3" spans="2:22" ht="20.100000000000001" customHeight="1" x14ac:dyDescent="0.2">
      <c r="B3" s="84" t="s">
        <v>151</v>
      </c>
    </row>
    <row r="5" spans="2:22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  <c r="P5" s="176" t="s">
        <v>152</v>
      </c>
      <c r="Q5" s="26"/>
      <c r="R5" s="26"/>
      <c r="S5" s="26"/>
      <c r="T5" s="26"/>
      <c r="U5" s="26"/>
      <c r="V5" s="26"/>
    </row>
    <row r="6" spans="2:22" ht="20.100000000000001" customHeight="1" x14ac:dyDescent="0.2">
      <c r="B6" s="60"/>
      <c r="K6" s="61"/>
      <c r="P6" s="29"/>
      <c r="Q6" s="29"/>
      <c r="R6" s="29"/>
      <c r="S6" s="29"/>
      <c r="T6" s="29"/>
      <c r="U6" s="29"/>
      <c r="V6" s="29"/>
    </row>
    <row r="7" spans="2:22" ht="20.100000000000001" customHeight="1" x14ac:dyDescent="0.2">
      <c r="B7" s="69">
        <v>45930</v>
      </c>
      <c r="C7" s="70" t="s">
        <v>13</v>
      </c>
      <c r="D7" s="71">
        <v>14172</v>
      </c>
      <c r="E7" s="71">
        <v>300</v>
      </c>
      <c r="F7" s="71" t="s">
        <v>12</v>
      </c>
      <c r="G7" s="147" t="s">
        <v>14</v>
      </c>
      <c r="H7" s="72">
        <v>335</v>
      </c>
      <c r="I7" s="72">
        <v>12</v>
      </c>
      <c r="J7" s="73">
        <f t="shared" ref="J7" si="0">E7*H7*I7</f>
        <v>1206000</v>
      </c>
      <c r="K7" s="74">
        <f>J7</f>
        <v>1206000</v>
      </c>
      <c r="P7" s="67" t="s">
        <v>2</v>
      </c>
      <c r="Q7" s="67" t="s">
        <v>136</v>
      </c>
      <c r="R7" s="67" t="s">
        <v>137</v>
      </c>
      <c r="S7" s="67" t="s">
        <v>138</v>
      </c>
      <c r="T7" s="67"/>
      <c r="U7" s="67" t="s">
        <v>139</v>
      </c>
      <c r="V7" s="67" t="s">
        <v>140</v>
      </c>
    </row>
    <row r="8" spans="2:22" ht="20.100000000000001" customHeight="1" x14ac:dyDescent="0.2">
      <c r="B8" s="60"/>
      <c r="K8" s="62"/>
      <c r="M8" s="57"/>
      <c r="P8" s="69">
        <v>45930</v>
      </c>
      <c r="Q8" s="71">
        <v>14172</v>
      </c>
      <c r="R8" s="73"/>
      <c r="S8" s="73">
        <v>1206000</v>
      </c>
      <c r="T8" s="73">
        <f>S8/1.12</f>
        <v>1076785.7142857141</v>
      </c>
      <c r="U8" s="73">
        <f>T8*0.01</f>
        <v>10767.857142857141</v>
      </c>
      <c r="V8" s="73">
        <f>S8-U8</f>
        <v>1195232.142857143</v>
      </c>
    </row>
    <row r="9" spans="2:22" ht="20.100000000000001" customHeight="1" x14ac:dyDescent="0.2">
      <c r="B9" s="69"/>
      <c r="C9" s="70"/>
      <c r="D9" s="71"/>
      <c r="E9" s="71"/>
      <c r="F9" s="71"/>
      <c r="G9" s="70"/>
      <c r="H9" s="72"/>
      <c r="I9" s="72"/>
      <c r="J9" s="73"/>
      <c r="K9" s="74"/>
      <c r="M9" s="57"/>
      <c r="P9" s="69"/>
      <c r="Q9" s="71"/>
      <c r="R9" s="73"/>
      <c r="S9" s="73"/>
      <c r="T9" s="73"/>
      <c r="U9" s="73"/>
      <c r="V9" s="73"/>
    </row>
    <row r="10" spans="2:22" ht="20.100000000000001" customHeight="1" x14ac:dyDescent="0.2">
      <c r="B10" s="75"/>
      <c r="C10" s="76"/>
      <c r="D10" s="98"/>
      <c r="E10" s="71"/>
      <c r="F10" s="71"/>
      <c r="G10" s="70"/>
      <c r="H10" s="72"/>
      <c r="I10" s="72"/>
      <c r="J10" s="73"/>
      <c r="K10" s="74"/>
      <c r="M10" s="57"/>
      <c r="P10" s="69"/>
      <c r="Q10" s="71"/>
      <c r="R10" s="73"/>
      <c r="S10" s="73"/>
      <c r="T10" s="73"/>
      <c r="U10" s="73"/>
      <c r="V10" s="73"/>
    </row>
    <row r="11" spans="2:22" ht="20.100000000000001" customHeight="1" x14ac:dyDescent="0.2">
      <c r="B11" s="60"/>
      <c r="D11" s="136"/>
      <c r="E11" s="71"/>
      <c r="F11" s="71"/>
      <c r="G11" s="70"/>
      <c r="H11" s="72"/>
      <c r="I11" s="72"/>
      <c r="J11" s="73"/>
      <c r="K11" s="74"/>
      <c r="M11" s="57"/>
      <c r="P11" s="69"/>
      <c r="Q11" s="71"/>
      <c r="R11" s="73"/>
      <c r="S11" s="73"/>
      <c r="T11" s="73"/>
      <c r="U11" s="73"/>
      <c r="V11" s="73"/>
    </row>
    <row r="12" spans="2:22" ht="20.100000000000001" customHeight="1" x14ac:dyDescent="0.2">
      <c r="B12" s="60"/>
      <c r="D12" s="136"/>
      <c r="E12" s="71"/>
      <c r="F12" s="71"/>
      <c r="G12" s="70"/>
      <c r="H12" s="72"/>
      <c r="I12" s="72"/>
      <c r="J12" s="73"/>
      <c r="K12" s="74"/>
      <c r="M12" s="57"/>
      <c r="P12" s="71"/>
      <c r="Q12" s="71"/>
      <c r="R12" s="73"/>
      <c r="S12" s="73"/>
      <c r="T12" s="70"/>
      <c r="U12" s="70"/>
      <c r="V12" s="70"/>
    </row>
    <row r="13" spans="2:22" ht="20.100000000000001" customHeight="1" x14ac:dyDescent="0.2">
      <c r="B13" s="60"/>
      <c r="D13" s="136"/>
      <c r="E13" s="71"/>
      <c r="F13" s="71"/>
      <c r="G13" s="70"/>
      <c r="H13" s="72"/>
      <c r="I13" s="72"/>
      <c r="J13" s="73"/>
      <c r="K13" s="74"/>
      <c r="M13" s="57"/>
      <c r="P13" s="198" t="s">
        <v>141</v>
      </c>
      <c r="Q13" s="199"/>
      <c r="R13" s="200"/>
      <c r="S13" s="74">
        <f>SUM(S8:S12)</f>
        <v>1206000</v>
      </c>
      <c r="T13" s="74">
        <f>SUM(T8:T12)</f>
        <v>1076785.7142857141</v>
      </c>
      <c r="U13" s="74">
        <f>SUM(U8:U12)</f>
        <v>10767.857142857141</v>
      </c>
      <c r="V13" s="74">
        <f>SUM(V8:V12)</f>
        <v>1195232.142857143</v>
      </c>
    </row>
    <row r="14" spans="2:22" ht="20.100000000000001" customHeight="1" x14ac:dyDescent="0.2">
      <c r="B14" s="60"/>
      <c r="D14" s="136"/>
      <c r="E14" s="71"/>
      <c r="F14" s="71"/>
      <c r="G14" s="70"/>
      <c r="H14" s="72"/>
      <c r="I14" s="72"/>
      <c r="J14" s="73"/>
      <c r="K14" s="74"/>
      <c r="M14" s="57"/>
    </row>
    <row r="15" spans="2:22" ht="20.100000000000001" customHeight="1" x14ac:dyDescent="0.2">
      <c r="B15" s="60"/>
      <c r="D15" s="136"/>
      <c r="E15" s="71"/>
      <c r="F15" s="71"/>
      <c r="G15" s="70"/>
      <c r="H15" s="72"/>
      <c r="I15" s="72"/>
      <c r="J15" s="73"/>
      <c r="K15" s="74"/>
      <c r="M15" s="57"/>
      <c r="R15" s="29" t="s">
        <v>143</v>
      </c>
      <c r="S15" s="57">
        <f>S13</f>
        <v>1206000</v>
      </c>
    </row>
    <row r="16" spans="2:22" ht="20.100000000000001" customHeight="1" x14ac:dyDescent="0.2">
      <c r="B16" s="60"/>
      <c r="D16" s="136"/>
      <c r="E16" s="71"/>
      <c r="F16" s="71"/>
      <c r="G16" s="70"/>
      <c r="H16" s="72"/>
      <c r="I16" s="72"/>
      <c r="J16" s="144"/>
      <c r="K16" s="74"/>
      <c r="M16" s="57"/>
      <c r="R16" s="29" t="s">
        <v>144</v>
      </c>
      <c r="S16" s="57">
        <v>1206000</v>
      </c>
    </row>
    <row r="17" spans="2:19" ht="20.100000000000001" customHeight="1" thickBot="1" x14ac:dyDescent="0.25">
      <c r="B17" s="63"/>
      <c r="C17" s="64"/>
      <c r="D17" s="99"/>
      <c r="E17" s="71"/>
      <c r="F17" s="71"/>
      <c r="G17" s="70"/>
      <c r="H17" s="72"/>
      <c r="I17" s="72"/>
      <c r="J17" s="144"/>
      <c r="K17" s="74"/>
      <c r="L17" s="26" t="s">
        <v>16</v>
      </c>
      <c r="M17" s="57"/>
      <c r="N17" s="57">
        <f>K17*0.6</f>
        <v>0</v>
      </c>
      <c r="O17" s="57"/>
      <c r="S17" s="180">
        <f>S15/S16</f>
        <v>1</v>
      </c>
    </row>
    <row r="18" spans="2:19" ht="19.5" customHeight="1" thickTop="1" x14ac:dyDescent="0.2">
      <c r="B18" s="60"/>
      <c r="K18" s="62"/>
      <c r="M18" s="57"/>
    </row>
    <row r="19" spans="2:19" ht="20.100000000000001" customHeight="1" x14ac:dyDescent="0.2">
      <c r="B19" s="69"/>
      <c r="C19" s="70"/>
      <c r="D19" s="71"/>
      <c r="E19" s="71"/>
      <c r="F19" s="71"/>
      <c r="G19" s="70"/>
      <c r="H19" s="72"/>
      <c r="I19" s="72"/>
      <c r="J19" s="73"/>
      <c r="K19" s="74"/>
      <c r="M19" s="57"/>
      <c r="N19" s="57">
        <f>K19</f>
        <v>0</v>
      </c>
    </row>
    <row r="20" spans="2:19" ht="20.100000000000001" customHeight="1" x14ac:dyDescent="0.2">
      <c r="B20" s="60"/>
      <c r="K20" s="61"/>
    </row>
    <row r="21" spans="2:19" ht="20.100000000000001" hidden="1" customHeight="1" x14ac:dyDescent="0.2">
      <c r="B21" s="69"/>
      <c r="C21" s="70"/>
      <c r="D21" s="71"/>
      <c r="E21" s="71"/>
      <c r="F21" s="71"/>
      <c r="G21" s="70"/>
      <c r="H21" s="72"/>
      <c r="I21" s="72"/>
      <c r="J21" s="73">
        <f t="shared" ref="J21:J22" si="1">E21*H21*I21</f>
        <v>0</v>
      </c>
      <c r="K21" s="77"/>
    </row>
    <row r="22" spans="2:19" ht="20.100000000000001" hidden="1" customHeight="1" x14ac:dyDescent="0.2">
      <c r="B22" s="63"/>
      <c r="C22" s="64"/>
      <c r="D22" s="65"/>
      <c r="E22" s="71"/>
      <c r="F22" s="71"/>
      <c r="G22" s="70"/>
      <c r="H22" s="72"/>
      <c r="I22" s="72"/>
      <c r="J22" s="73">
        <f t="shared" si="1"/>
        <v>0</v>
      </c>
      <c r="K22" s="78">
        <f>SUM(J21:J22)</f>
        <v>0</v>
      </c>
    </row>
    <row r="23" spans="2:19" ht="20.100000000000001" hidden="1" customHeight="1" x14ac:dyDescent="0.2">
      <c r="B23" s="60"/>
      <c r="K23" s="61"/>
    </row>
    <row r="24" spans="2:19" ht="20.100000000000001" hidden="1" customHeight="1" x14ac:dyDescent="0.2">
      <c r="B24" s="69"/>
      <c r="C24" s="70"/>
      <c r="D24" s="71"/>
      <c r="E24" s="71"/>
      <c r="F24" s="71"/>
      <c r="G24" s="70"/>
      <c r="H24" s="72"/>
      <c r="I24" s="72"/>
      <c r="J24" s="73">
        <f t="shared" ref="J24:J25" si="2">E24*H24*I24</f>
        <v>0</v>
      </c>
      <c r="K24" s="77"/>
    </row>
    <row r="25" spans="2:19" ht="20.100000000000001" hidden="1" customHeight="1" x14ac:dyDescent="0.2">
      <c r="B25" s="63"/>
      <c r="C25" s="64"/>
      <c r="D25" s="65"/>
      <c r="E25" s="71"/>
      <c r="F25" s="71"/>
      <c r="G25" s="70"/>
      <c r="H25" s="72"/>
      <c r="I25" s="72"/>
      <c r="J25" s="73">
        <f t="shared" si="2"/>
        <v>0</v>
      </c>
      <c r="K25" s="78">
        <f>SUM(J24:J25)</f>
        <v>0</v>
      </c>
      <c r="M25" s="57">
        <f>K25</f>
        <v>0</v>
      </c>
    </row>
    <row r="26" spans="2:19" ht="20.100000000000001" hidden="1" customHeight="1" x14ac:dyDescent="0.2">
      <c r="B26" s="60"/>
      <c r="K26" s="61"/>
    </row>
    <row r="27" spans="2:19" ht="20.100000000000001" hidden="1" customHeight="1" x14ac:dyDescent="0.2">
      <c r="B27" s="69"/>
      <c r="C27" s="70"/>
      <c r="D27" s="71"/>
      <c r="E27" s="71"/>
      <c r="F27" s="71"/>
      <c r="G27" s="70"/>
      <c r="H27" s="72"/>
      <c r="I27" s="72"/>
      <c r="J27" s="73">
        <f t="shared" ref="J27:J28" si="3">E27*H27*I27</f>
        <v>0</v>
      </c>
      <c r="K27" s="77"/>
    </row>
    <row r="28" spans="2:19" ht="20.100000000000001" hidden="1" customHeight="1" x14ac:dyDescent="0.2">
      <c r="B28" s="63"/>
      <c r="C28" s="64"/>
      <c r="D28" s="65"/>
      <c r="E28" s="71"/>
      <c r="F28" s="71"/>
      <c r="G28" s="70"/>
      <c r="H28" s="72"/>
      <c r="I28" s="72"/>
      <c r="J28" s="73">
        <f t="shared" si="3"/>
        <v>0</v>
      </c>
      <c r="K28" s="78">
        <f>SUM(J27:J28)</f>
        <v>0</v>
      </c>
    </row>
    <row r="29" spans="2:19" ht="20.100000000000001" hidden="1" customHeight="1" x14ac:dyDescent="0.2">
      <c r="B29" s="60"/>
      <c r="K29" s="61"/>
    </row>
    <row r="30" spans="2:19" ht="20.100000000000001" hidden="1" customHeight="1" x14ac:dyDescent="0.2">
      <c r="B30" s="69"/>
      <c r="C30" s="70"/>
      <c r="D30" s="71"/>
      <c r="E30" s="71"/>
      <c r="F30" s="71"/>
      <c r="G30" s="70"/>
      <c r="H30" s="72"/>
      <c r="I30" s="72"/>
      <c r="J30" s="73">
        <f t="shared" ref="J30:J31" si="4">E30*H30*I30</f>
        <v>0</v>
      </c>
      <c r="K30" s="77"/>
    </row>
    <row r="31" spans="2:19" ht="20.100000000000001" hidden="1" customHeight="1" x14ac:dyDescent="0.2">
      <c r="B31" s="63"/>
      <c r="C31" s="64"/>
      <c r="D31" s="65"/>
      <c r="E31" s="71"/>
      <c r="F31" s="71"/>
      <c r="G31" s="70"/>
      <c r="H31" s="72"/>
      <c r="I31" s="72"/>
      <c r="J31" s="73">
        <f t="shared" si="4"/>
        <v>0</v>
      </c>
      <c r="K31" s="78">
        <f>SUM(J30:J31)</f>
        <v>0</v>
      </c>
    </row>
    <row r="32" spans="2:19" ht="20.100000000000001" hidden="1" customHeight="1" x14ac:dyDescent="0.2">
      <c r="B32" s="60"/>
      <c r="K32" s="61"/>
    </row>
    <row r="33" spans="2:17" ht="20.100000000000001" hidden="1" customHeight="1" x14ac:dyDescent="0.2">
      <c r="B33" s="69"/>
      <c r="C33" s="70"/>
      <c r="D33" s="71"/>
      <c r="E33" s="71"/>
      <c r="F33" s="71"/>
      <c r="G33" s="70"/>
      <c r="H33" s="72"/>
      <c r="I33" s="72"/>
      <c r="J33" s="73">
        <f t="shared" ref="J33" si="5">E33*H33*I33</f>
        <v>0</v>
      </c>
      <c r="K33" s="74">
        <f>J33</f>
        <v>0</v>
      </c>
    </row>
    <row r="34" spans="2:17" ht="20.100000000000001" hidden="1" customHeight="1" x14ac:dyDescent="0.2">
      <c r="B34" s="60"/>
      <c r="K34" s="61"/>
    </row>
    <row r="35" spans="2:17" ht="20.100000000000001" customHeight="1" thickBot="1" x14ac:dyDescent="0.25">
      <c r="B35" s="79"/>
      <c r="C35" s="80"/>
      <c r="D35" s="81"/>
      <c r="E35" s="81"/>
      <c r="F35" s="81"/>
      <c r="G35" s="80"/>
      <c r="H35" s="82"/>
      <c r="I35" s="83" t="s">
        <v>100</v>
      </c>
      <c r="J35" s="90">
        <f>SUM(J7:J33)</f>
        <v>1206000</v>
      </c>
      <c r="K35" s="78">
        <f>J35-K7</f>
        <v>0</v>
      </c>
      <c r="O35" s="57"/>
    </row>
    <row r="36" spans="2:17" ht="20.100000000000001" customHeight="1" thickTop="1" x14ac:dyDescent="0.2">
      <c r="O36" s="137"/>
      <c r="Q36" s="137"/>
    </row>
    <row r="38" spans="2:17" ht="20.100000000000001" customHeight="1" x14ac:dyDescent="0.2">
      <c r="B38" s="59" t="s">
        <v>25</v>
      </c>
      <c r="F38" s="28" t="s">
        <v>26</v>
      </c>
    </row>
    <row r="39" spans="2:17" ht="20.100000000000001" customHeight="1" x14ac:dyDescent="0.2">
      <c r="C39" s="26" t="s">
        <v>27</v>
      </c>
      <c r="G39" s="26" t="s">
        <v>35</v>
      </c>
    </row>
    <row r="44" spans="2:17" ht="20.100000000000001" customHeight="1" x14ac:dyDescent="0.2">
      <c r="B44" s="84" t="s">
        <v>23</v>
      </c>
    </row>
    <row r="45" spans="2:17" ht="20.100000000000001" customHeight="1" x14ac:dyDescent="0.2">
      <c r="B45" s="84" t="s">
        <v>1</v>
      </c>
    </row>
    <row r="46" spans="2:17" ht="20.100000000000001" customHeight="1" x14ac:dyDescent="0.2">
      <c r="B46" s="84" t="s">
        <v>92</v>
      </c>
    </row>
    <row r="48" spans="2:17" ht="20.100000000000001" customHeight="1" x14ac:dyDescent="0.2">
      <c r="B48" s="66" t="s">
        <v>2</v>
      </c>
      <c r="C48" s="67" t="s">
        <v>3</v>
      </c>
      <c r="D48" s="67" t="s">
        <v>4</v>
      </c>
      <c r="E48" s="67" t="s">
        <v>21</v>
      </c>
      <c r="F48" s="67" t="s">
        <v>6</v>
      </c>
      <c r="G48" s="67" t="s">
        <v>7</v>
      </c>
      <c r="H48" s="68" t="s">
        <v>8</v>
      </c>
      <c r="I48" s="68" t="s">
        <v>9</v>
      </c>
      <c r="J48" s="68" t="s">
        <v>10</v>
      </c>
      <c r="K48" s="68" t="s">
        <v>22</v>
      </c>
    </row>
    <row r="49" spans="1:17" ht="18.75" customHeight="1" x14ac:dyDescent="0.2">
      <c r="A49" s="29"/>
      <c r="B49" s="60"/>
      <c r="K49" s="61"/>
    </row>
    <row r="50" spans="1:17" ht="18.75" customHeight="1" x14ac:dyDescent="0.2">
      <c r="A50" s="29"/>
      <c r="B50" s="69"/>
      <c r="C50" s="70"/>
      <c r="D50" s="71"/>
      <c r="E50" s="71"/>
      <c r="F50" s="71"/>
      <c r="G50" s="70"/>
      <c r="H50" s="72"/>
      <c r="I50" s="86"/>
      <c r="J50" s="138">
        <f>E50*H50*I50</f>
        <v>0</v>
      </c>
      <c r="K50" s="85"/>
    </row>
    <row r="51" spans="1:17" ht="20.100000000000001" customHeight="1" x14ac:dyDescent="0.2">
      <c r="A51" s="29"/>
      <c r="B51" s="63"/>
      <c r="C51" s="64"/>
      <c r="D51" s="65"/>
      <c r="E51" s="71"/>
      <c r="F51" s="71"/>
      <c r="G51" s="70"/>
      <c r="H51" s="139"/>
      <c r="I51" s="139"/>
      <c r="J51" s="138">
        <f>E51*H51*I51</f>
        <v>0</v>
      </c>
      <c r="K51" s="74">
        <f>SUM(J50:J51)</f>
        <v>0</v>
      </c>
      <c r="M51" s="57"/>
    </row>
    <row r="52" spans="1:17" ht="20.100000000000001" customHeight="1" x14ac:dyDescent="0.2">
      <c r="B52" s="60"/>
      <c r="K52" s="61"/>
    </row>
    <row r="53" spans="1:17" ht="20.100000000000001" customHeight="1" x14ac:dyDescent="0.2">
      <c r="B53" s="69"/>
      <c r="C53" s="70"/>
      <c r="D53" s="71"/>
      <c r="E53" s="71"/>
      <c r="F53" s="71"/>
      <c r="G53" s="70"/>
      <c r="H53" s="72"/>
      <c r="I53" s="86"/>
      <c r="J53" s="138">
        <f>E53*H53*I53</f>
        <v>0</v>
      </c>
      <c r="K53" s="77">
        <f>J53</f>
        <v>0</v>
      </c>
    </row>
    <row r="54" spans="1:17" ht="20.100000000000001" customHeight="1" x14ac:dyDescent="0.2">
      <c r="B54" s="63"/>
      <c r="C54" s="64"/>
      <c r="D54" s="65"/>
      <c r="E54" s="71"/>
      <c r="F54" s="71"/>
      <c r="G54" s="70"/>
      <c r="H54" s="139"/>
      <c r="I54" s="139"/>
      <c r="J54" s="95"/>
      <c r="K54" s="74"/>
      <c r="M54" s="57"/>
    </row>
    <row r="55" spans="1:17" ht="20.100000000000001" customHeight="1" x14ac:dyDescent="0.2">
      <c r="B55" s="60"/>
      <c r="K55" s="61"/>
    </row>
    <row r="56" spans="1:17" ht="20.100000000000001" customHeight="1" thickBot="1" x14ac:dyDescent="0.25">
      <c r="B56" s="79"/>
      <c r="C56" s="80"/>
      <c r="D56" s="81"/>
      <c r="E56" s="81"/>
      <c r="F56" s="81"/>
      <c r="G56" s="80"/>
      <c r="H56" s="82"/>
      <c r="I56" s="83" t="s">
        <v>101</v>
      </c>
      <c r="J56" s="90">
        <f>SUM(J49:J55)</f>
        <v>0</v>
      </c>
      <c r="K56" s="78">
        <f>J56-K53-K51</f>
        <v>0</v>
      </c>
    </row>
    <row r="57" spans="1:17" ht="20.100000000000001" customHeight="1" thickTop="1" x14ac:dyDescent="0.2">
      <c r="J57" s="57">
        <f>K17+K19+K28</f>
        <v>0</v>
      </c>
    </row>
    <row r="58" spans="1:17" ht="20.100000000000001" customHeight="1" x14ac:dyDescent="0.2">
      <c r="J58" s="57">
        <f>J57*0.6</f>
        <v>0</v>
      </c>
      <c r="M58" s="57"/>
      <c r="O58" s="57"/>
    </row>
    <row r="60" spans="1:17" ht="20.100000000000001" customHeight="1" x14ac:dyDescent="0.2">
      <c r="B60" s="59" t="s">
        <v>25</v>
      </c>
      <c r="F60" s="28" t="s">
        <v>26</v>
      </c>
    </row>
    <row r="61" spans="1:17" s="58" customFormat="1" ht="20.100000000000001" customHeight="1" x14ac:dyDescent="0.2">
      <c r="A61" s="26"/>
      <c r="B61" s="59"/>
      <c r="C61" s="26" t="s">
        <v>27</v>
      </c>
      <c r="D61" s="29"/>
      <c r="E61" s="29"/>
      <c r="F61" s="29"/>
      <c r="G61" s="26" t="s">
        <v>35</v>
      </c>
      <c r="J61" s="57"/>
      <c r="K61" s="57"/>
      <c r="L61" s="26"/>
      <c r="M61" s="26"/>
      <c r="N61" s="26"/>
      <c r="O61" s="26"/>
      <c r="P61" s="26"/>
      <c r="Q61" s="26"/>
    </row>
  </sheetData>
  <mergeCells count="1">
    <mergeCell ref="P13:R13"/>
  </mergeCells>
  <printOptions gridLines="1"/>
  <pageMargins left="0.7" right="0.7" top="0.75" bottom="0.75" header="0.3" footer="0.3"/>
  <pageSetup scale="56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1E39-F124-4B53-8E00-BA1BA9846CFA}">
  <sheetPr codeName="Sheet11">
    <pageSetUpPr fitToPage="1"/>
  </sheetPr>
  <dimension ref="A1:U45"/>
  <sheetViews>
    <sheetView zoomScale="106" zoomScaleNormal="106" workbookViewId="0">
      <selection activeCell="G25" sqref="G25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4.42578125" style="26" customWidth="1"/>
    <col min="4" max="4" width="13" style="29" customWidth="1"/>
    <col min="5" max="6" width="9.140625" style="29"/>
    <col min="7" max="7" width="62.85546875" style="26" bestFit="1" customWidth="1"/>
    <col min="8" max="8" width="14.28515625" style="58" bestFit="1" customWidth="1"/>
    <col min="9" max="9" width="9.140625" style="58"/>
    <col min="10" max="10" width="18" style="57" customWidth="1"/>
    <col min="11" max="11" width="17" style="57" bestFit="1" customWidth="1"/>
    <col min="12" max="12" width="9.140625" style="26"/>
    <col min="13" max="14" width="14.42578125" style="26" bestFit="1" customWidth="1"/>
    <col min="15" max="15" width="15.5703125" style="26" bestFit="1" customWidth="1"/>
    <col min="16" max="16" width="9.140625" style="26"/>
    <col min="17" max="17" width="11" style="26" bestFit="1" customWidth="1"/>
    <col min="18" max="18" width="17.5703125" style="26" bestFit="1" customWidth="1"/>
    <col min="19" max="19" width="16" style="26" bestFit="1" customWidth="1"/>
    <col min="20" max="20" width="12.85546875" style="26" bestFit="1" customWidth="1"/>
    <col min="21" max="21" width="16" style="26" bestFit="1" customWidth="1"/>
    <col min="22" max="16384" width="9.140625" style="26"/>
  </cols>
  <sheetData>
    <row r="1" spans="2:21" ht="20.100000000000001" customHeight="1" x14ac:dyDescent="0.2">
      <c r="B1" s="84" t="s">
        <v>24</v>
      </c>
    </row>
    <row r="2" spans="2:21" ht="20.100000000000001" customHeight="1" x14ac:dyDescent="0.2">
      <c r="B2" s="84" t="s">
        <v>1</v>
      </c>
    </row>
    <row r="3" spans="2:21" ht="20.100000000000001" customHeight="1" x14ac:dyDescent="0.2">
      <c r="B3" s="84" t="s">
        <v>153</v>
      </c>
    </row>
    <row r="5" spans="2:21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  <c r="O5" s="176" t="s">
        <v>156</v>
      </c>
      <c r="P5" s="26"/>
      <c r="Q5" s="26"/>
      <c r="R5" s="26"/>
      <c r="S5" s="26"/>
      <c r="T5" s="26"/>
      <c r="U5" s="26"/>
    </row>
    <row r="6" spans="2:21" ht="20.100000000000001" customHeight="1" x14ac:dyDescent="0.2">
      <c r="B6" s="60"/>
      <c r="K6" s="61"/>
      <c r="O6" s="29"/>
      <c r="P6" s="29"/>
      <c r="Q6" s="29"/>
      <c r="R6" s="29"/>
      <c r="S6" s="29"/>
      <c r="T6" s="29"/>
      <c r="U6" s="29"/>
    </row>
    <row r="7" spans="2:21" ht="20.100000000000001" customHeight="1" x14ac:dyDescent="0.2">
      <c r="B7" s="69">
        <v>45933</v>
      </c>
      <c r="C7" s="71" t="s">
        <v>72</v>
      </c>
      <c r="D7" s="71">
        <v>19294</v>
      </c>
      <c r="E7" s="71">
        <v>400</v>
      </c>
      <c r="F7" s="71" t="s">
        <v>12</v>
      </c>
      <c r="G7" s="147" t="s">
        <v>148</v>
      </c>
      <c r="H7" s="72">
        <v>150</v>
      </c>
      <c r="I7" s="72">
        <v>12</v>
      </c>
      <c r="J7" s="144">
        <f t="shared" ref="J7:J12" si="0">E7*H7*I7</f>
        <v>720000</v>
      </c>
      <c r="K7" s="78">
        <f>SUM(J7:J7)</f>
        <v>720000</v>
      </c>
      <c r="M7" s="57"/>
      <c r="N7" s="57"/>
      <c r="O7" s="67" t="s">
        <v>2</v>
      </c>
      <c r="P7" s="67" t="s">
        <v>136</v>
      </c>
      <c r="Q7" s="67" t="s">
        <v>137</v>
      </c>
      <c r="R7" s="67" t="s">
        <v>138</v>
      </c>
      <c r="S7" s="67"/>
      <c r="T7" s="67" t="s">
        <v>139</v>
      </c>
      <c r="U7" s="67" t="s">
        <v>140</v>
      </c>
    </row>
    <row r="8" spans="2:21" ht="20.100000000000001" customHeight="1" x14ac:dyDescent="0.2">
      <c r="B8" s="60"/>
      <c r="C8" s="29"/>
      <c r="K8" s="62"/>
      <c r="M8" s="57"/>
      <c r="O8" s="69">
        <v>45960</v>
      </c>
      <c r="P8" s="71">
        <v>14231</v>
      </c>
      <c r="Q8" s="73"/>
      <c r="R8" s="73">
        <v>2010000</v>
      </c>
      <c r="S8" s="73">
        <f>R8/1.12</f>
        <v>1794642.857142857</v>
      </c>
      <c r="T8" s="73">
        <f>S8*0.01</f>
        <v>17946.428571428572</v>
      </c>
      <c r="U8" s="73">
        <f>R8-T8</f>
        <v>1992053.5714285714</v>
      </c>
    </row>
    <row r="9" spans="2:21" ht="20.100000000000001" customHeight="1" x14ac:dyDescent="0.2">
      <c r="B9" s="69">
        <v>45953</v>
      </c>
      <c r="C9" s="71" t="s">
        <v>13</v>
      </c>
      <c r="D9" s="71">
        <v>14218</v>
      </c>
      <c r="E9" s="71">
        <v>500</v>
      </c>
      <c r="F9" s="71" t="s">
        <v>12</v>
      </c>
      <c r="G9" s="70" t="s">
        <v>31</v>
      </c>
      <c r="H9" s="72">
        <v>181</v>
      </c>
      <c r="I9" s="72">
        <v>12</v>
      </c>
      <c r="J9" s="73">
        <f t="shared" ref="J9:J11" si="1">E9*H9*I9</f>
        <v>1086000</v>
      </c>
      <c r="K9" s="74"/>
      <c r="M9" s="57"/>
      <c r="O9" s="69"/>
      <c r="P9" s="71"/>
      <c r="Q9" s="73"/>
      <c r="R9" s="73"/>
      <c r="S9" s="73"/>
      <c r="T9" s="73"/>
      <c r="U9" s="73"/>
    </row>
    <row r="10" spans="2:21" ht="20.100000000000001" customHeight="1" x14ac:dyDescent="0.2">
      <c r="B10" s="75"/>
      <c r="C10" s="76"/>
      <c r="D10" s="98"/>
      <c r="E10" s="71">
        <v>50</v>
      </c>
      <c r="F10" s="71" t="s">
        <v>12</v>
      </c>
      <c r="G10" s="70" t="s">
        <v>154</v>
      </c>
      <c r="H10" s="72">
        <v>70</v>
      </c>
      <c r="I10" s="72">
        <v>24</v>
      </c>
      <c r="J10" s="73">
        <f t="shared" si="1"/>
        <v>84000</v>
      </c>
      <c r="K10" s="74"/>
      <c r="M10" s="57"/>
      <c r="O10" s="69"/>
      <c r="P10" s="71"/>
      <c r="Q10" s="73"/>
      <c r="R10" s="73"/>
      <c r="S10" s="73"/>
      <c r="T10" s="73"/>
      <c r="U10" s="73"/>
    </row>
    <row r="11" spans="2:21" ht="20.100000000000001" customHeight="1" x14ac:dyDescent="0.2">
      <c r="B11" s="60"/>
      <c r="D11" s="136"/>
      <c r="E11" s="71">
        <v>50</v>
      </c>
      <c r="F11" s="71" t="s">
        <v>12</v>
      </c>
      <c r="G11" s="70" t="s">
        <v>146</v>
      </c>
      <c r="H11" s="72">
        <v>240</v>
      </c>
      <c r="I11" s="72">
        <v>24</v>
      </c>
      <c r="J11" s="73">
        <f t="shared" si="1"/>
        <v>288000</v>
      </c>
      <c r="K11" s="74"/>
      <c r="M11" s="57"/>
      <c r="O11" s="69"/>
      <c r="P11" s="71"/>
      <c r="Q11" s="73"/>
      <c r="R11" s="73"/>
      <c r="S11" s="73"/>
      <c r="T11" s="73"/>
      <c r="U11" s="73"/>
    </row>
    <row r="12" spans="2:21" ht="20.100000000000001" customHeight="1" x14ac:dyDescent="0.2">
      <c r="B12" s="63"/>
      <c r="C12" s="64"/>
      <c r="D12" s="99"/>
      <c r="E12" s="71">
        <v>100</v>
      </c>
      <c r="F12" s="71" t="s">
        <v>12</v>
      </c>
      <c r="G12" s="70" t="s">
        <v>120</v>
      </c>
      <c r="H12" s="72">
        <v>158.5</v>
      </c>
      <c r="I12" s="72">
        <v>12</v>
      </c>
      <c r="J12" s="138">
        <f t="shared" si="0"/>
        <v>190200</v>
      </c>
      <c r="K12" s="74">
        <f>SUM(J9:J12)</f>
        <v>1648200</v>
      </c>
      <c r="L12" s="26" t="s">
        <v>16</v>
      </c>
      <c r="M12" s="57"/>
      <c r="N12" s="57"/>
      <c r="O12" s="71"/>
      <c r="P12" s="71"/>
      <c r="Q12" s="73"/>
      <c r="R12" s="73"/>
      <c r="S12" s="70"/>
      <c r="T12" s="70"/>
      <c r="U12" s="70"/>
    </row>
    <row r="13" spans="2:21" ht="19.5" customHeight="1" x14ac:dyDescent="0.2">
      <c r="B13" s="60"/>
      <c r="K13" s="62"/>
      <c r="M13" s="57"/>
      <c r="O13" s="198" t="s">
        <v>141</v>
      </c>
      <c r="P13" s="199"/>
      <c r="Q13" s="200"/>
      <c r="R13" s="74">
        <f>SUM(R8:R12)</f>
        <v>2010000</v>
      </c>
      <c r="S13" s="74">
        <f>SUM(S8:S12)</f>
        <v>1794642.857142857</v>
      </c>
      <c r="T13" s="74">
        <f>SUM(T8:T12)</f>
        <v>17946.428571428572</v>
      </c>
      <c r="U13" s="74">
        <f>SUM(U8:U12)</f>
        <v>1992053.5714285714</v>
      </c>
    </row>
    <row r="14" spans="2:21" ht="20.100000000000001" customHeight="1" x14ac:dyDescent="0.2">
      <c r="B14" s="69">
        <v>45957</v>
      </c>
      <c r="C14" s="71" t="s">
        <v>13</v>
      </c>
      <c r="D14" s="149">
        <v>14224</v>
      </c>
      <c r="E14" s="71">
        <v>90</v>
      </c>
      <c r="F14" s="71" t="s">
        <v>12</v>
      </c>
      <c r="G14" s="70" t="s">
        <v>155</v>
      </c>
      <c r="H14" s="72">
        <v>615</v>
      </c>
      <c r="I14" s="72">
        <v>12</v>
      </c>
      <c r="J14" s="73">
        <f t="shared" ref="J14" si="2">E14*H14*I14</f>
        <v>664200</v>
      </c>
      <c r="K14" s="78">
        <f>SUM(J14:J14)</f>
        <v>664200</v>
      </c>
    </row>
    <row r="15" spans="2:21" ht="20.100000000000001" customHeight="1" x14ac:dyDescent="0.2">
      <c r="B15" s="60"/>
      <c r="K15" s="61"/>
      <c r="Q15" s="29" t="s">
        <v>143</v>
      </c>
      <c r="R15" s="57">
        <f>R13</f>
        <v>2010000</v>
      </c>
    </row>
    <row r="16" spans="2:21" ht="20.100000000000001" customHeight="1" x14ac:dyDescent="0.2">
      <c r="B16" s="69">
        <v>45960</v>
      </c>
      <c r="C16" s="71" t="s">
        <v>13</v>
      </c>
      <c r="D16" s="71">
        <v>14231</v>
      </c>
      <c r="E16" s="71">
        <v>500</v>
      </c>
      <c r="F16" s="71" t="s">
        <v>12</v>
      </c>
      <c r="G16" s="147" t="s">
        <v>14</v>
      </c>
      <c r="H16" s="72">
        <v>335</v>
      </c>
      <c r="I16" s="72">
        <v>12</v>
      </c>
      <c r="J16" s="144">
        <f t="shared" ref="J16" si="3">E16*H16*I16</f>
        <v>2010000</v>
      </c>
      <c r="K16" s="78">
        <f>SUM(J16:J16)</f>
        <v>2010000</v>
      </c>
      <c r="M16" s="57">
        <f>K16</f>
        <v>2010000</v>
      </c>
      <c r="Q16" s="29" t="s">
        <v>144</v>
      </c>
      <c r="R16" s="57">
        <v>4322400</v>
      </c>
    </row>
    <row r="17" spans="2:18" ht="20.100000000000001" customHeight="1" thickBot="1" x14ac:dyDescent="0.25">
      <c r="B17" s="60"/>
      <c r="C17" s="29"/>
      <c r="G17" s="18"/>
      <c r="K17" s="62"/>
      <c r="M17" s="57"/>
      <c r="R17" s="180">
        <f>R15/R16</f>
        <v>0.46501943364797332</v>
      </c>
    </row>
    <row r="18" spans="2:18" ht="20.100000000000001" customHeight="1" thickTop="1" x14ac:dyDescent="0.2">
      <c r="B18" s="69">
        <v>45960</v>
      </c>
      <c r="C18" s="71" t="s">
        <v>72</v>
      </c>
      <c r="D18" s="71">
        <v>19450</v>
      </c>
      <c r="E18" s="71">
        <v>400</v>
      </c>
      <c r="F18" s="71" t="s">
        <v>12</v>
      </c>
      <c r="G18" s="147" t="s">
        <v>148</v>
      </c>
      <c r="H18" s="72">
        <v>150</v>
      </c>
      <c r="I18" s="72">
        <v>12</v>
      </c>
      <c r="J18" s="144">
        <f t="shared" ref="J18" si="4">E18*H18*I18</f>
        <v>720000</v>
      </c>
      <c r="K18" s="78">
        <f>SUM(J18:J18)</f>
        <v>720000</v>
      </c>
      <c r="M18" s="57"/>
      <c r="N18" s="57"/>
    </row>
    <row r="19" spans="2:18" ht="20.100000000000001" customHeight="1" x14ac:dyDescent="0.2">
      <c r="B19" s="60"/>
      <c r="C19" s="29"/>
      <c r="G19" s="18"/>
      <c r="K19" s="62"/>
      <c r="M19" s="57"/>
    </row>
    <row r="20" spans="2:18" ht="20.100000000000001" customHeight="1" thickBot="1" x14ac:dyDescent="0.25">
      <c r="B20" s="79"/>
      <c r="C20" s="80"/>
      <c r="D20" s="81"/>
      <c r="E20" s="81"/>
      <c r="F20" s="81"/>
      <c r="G20" s="80"/>
      <c r="H20" s="82"/>
      <c r="I20" s="83" t="s">
        <v>102</v>
      </c>
      <c r="J20" s="90">
        <f>SUM(J7:J19)</f>
        <v>5762400</v>
      </c>
      <c r="K20" s="78">
        <f>J20-K7-K12-K16-K14-K18</f>
        <v>0</v>
      </c>
      <c r="O20" s="57"/>
    </row>
    <row r="21" spans="2:18" ht="20.100000000000001" customHeight="1" thickTop="1" x14ac:dyDescent="0.2">
      <c r="O21" s="137"/>
      <c r="Q21" s="137"/>
    </row>
    <row r="23" spans="2:18" ht="20.100000000000001" customHeight="1" x14ac:dyDescent="0.2">
      <c r="B23" s="59" t="s">
        <v>25</v>
      </c>
      <c r="F23" s="28" t="s">
        <v>26</v>
      </c>
    </row>
    <row r="24" spans="2:18" ht="20.100000000000001" customHeight="1" x14ac:dyDescent="0.2">
      <c r="C24" s="26" t="s">
        <v>27</v>
      </c>
      <c r="G24" s="26" t="s">
        <v>35</v>
      </c>
    </row>
    <row r="29" spans="2:18" ht="20.100000000000001" customHeight="1" x14ac:dyDescent="0.2">
      <c r="B29" s="84" t="s">
        <v>23</v>
      </c>
    </row>
    <row r="30" spans="2:18" ht="20.100000000000001" customHeight="1" x14ac:dyDescent="0.2">
      <c r="B30" s="84" t="s">
        <v>1</v>
      </c>
    </row>
    <row r="31" spans="2:18" ht="20.100000000000001" customHeight="1" x14ac:dyDescent="0.2">
      <c r="B31" s="84" t="s">
        <v>153</v>
      </c>
    </row>
    <row r="33" spans="1:17" ht="20.100000000000001" customHeight="1" x14ac:dyDescent="0.2">
      <c r="B33" s="66" t="s">
        <v>2</v>
      </c>
      <c r="C33" s="67" t="s">
        <v>3</v>
      </c>
      <c r="D33" s="67" t="s">
        <v>4</v>
      </c>
      <c r="E33" s="67" t="s">
        <v>21</v>
      </c>
      <c r="F33" s="67" t="s">
        <v>6</v>
      </c>
      <c r="G33" s="67" t="s">
        <v>7</v>
      </c>
      <c r="H33" s="68" t="s">
        <v>8</v>
      </c>
      <c r="I33" s="68" t="s">
        <v>9</v>
      </c>
      <c r="J33" s="68" t="s">
        <v>10</v>
      </c>
      <c r="K33" s="68" t="s">
        <v>22</v>
      </c>
    </row>
    <row r="34" spans="1:17" ht="18.75" customHeight="1" x14ac:dyDescent="0.2">
      <c r="A34" s="29"/>
      <c r="B34" s="60"/>
      <c r="K34" s="61"/>
    </row>
    <row r="35" spans="1:17" ht="18.75" customHeight="1" x14ac:dyDescent="0.2">
      <c r="A35" s="29"/>
      <c r="B35" s="69"/>
      <c r="C35" s="70"/>
      <c r="D35" s="71"/>
      <c r="E35" s="71"/>
      <c r="F35" s="71"/>
      <c r="G35" s="70"/>
      <c r="H35" s="72"/>
      <c r="I35" s="72"/>
      <c r="J35" s="138">
        <f>E35*H35*I35</f>
        <v>0</v>
      </c>
      <c r="K35" s="74">
        <f>SUM(J35)</f>
        <v>0</v>
      </c>
    </row>
    <row r="36" spans="1:17" ht="20.100000000000001" customHeight="1" x14ac:dyDescent="0.2">
      <c r="B36" s="60"/>
      <c r="K36" s="61"/>
    </row>
    <row r="37" spans="1:17" ht="20.100000000000001" hidden="1" customHeight="1" x14ac:dyDescent="0.2">
      <c r="B37" s="69"/>
      <c r="C37" s="70"/>
      <c r="D37" s="71"/>
      <c r="E37" s="71"/>
      <c r="F37" s="71"/>
      <c r="G37" s="70"/>
      <c r="H37" s="72"/>
      <c r="I37" s="86"/>
      <c r="J37" s="138">
        <f>E37*H37*I37</f>
        <v>0</v>
      </c>
      <c r="K37" s="77">
        <f>J37</f>
        <v>0</v>
      </c>
    </row>
    <row r="38" spans="1:17" ht="20.100000000000001" hidden="1" customHeight="1" x14ac:dyDescent="0.2">
      <c r="B38" s="63"/>
      <c r="C38" s="64"/>
      <c r="D38" s="65"/>
      <c r="E38" s="71"/>
      <c r="F38" s="71"/>
      <c r="G38" s="70"/>
      <c r="H38" s="139"/>
      <c r="I38" s="139"/>
      <c r="J38" s="95"/>
      <c r="K38" s="74"/>
      <c r="M38" s="57"/>
    </row>
    <row r="39" spans="1:17" ht="20.100000000000001" hidden="1" customHeight="1" x14ac:dyDescent="0.2">
      <c r="B39" s="60"/>
      <c r="K39" s="61"/>
    </row>
    <row r="40" spans="1:17" ht="20.100000000000001" customHeight="1" thickBot="1" x14ac:dyDescent="0.25">
      <c r="B40" s="79"/>
      <c r="C40" s="80"/>
      <c r="D40" s="81"/>
      <c r="E40" s="81"/>
      <c r="F40" s="81"/>
      <c r="G40" s="80"/>
      <c r="H40" s="82"/>
      <c r="I40" s="83" t="s">
        <v>103</v>
      </c>
      <c r="J40" s="90">
        <f>SUM(J34:J39)</f>
        <v>0</v>
      </c>
      <c r="K40" s="78">
        <f>J40-K37-K35</f>
        <v>0</v>
      </c>
    </row>
    <row r="41" spans="1:17" ht="20.100000000000001" customHeight="1" thickTop="1" x14ac:dyDescent="0.2">
      <c r="J41" s="57">
        <f>K7+K12+K14+K16+J35</f>
        <v>5042400</v>
      </c>
    </row>
    <row r="42" spans="1:17" ht="20.100000000000001" customHeight="1" x14ac:dyDescent="0.2">
      <c r="J42" s="57">
        <f>J41*0.6</f>
        <v>3025440</v>
      </c>
      <c r="M42" s="57"/>
      <c r="O42" s="57"/>
    </row>
    <row r="44" spans="1:17" ht="20.100000000000001" customHeight="1" x14ac:dyDescent="0.2">
      <c r="B44" s="59" t="s">
        <v>25</v>
      </c>
      <c r="F44" s="28" t="s">
        <v>26</v>
      </c>
    </row>
    <row r="45" spans="1:17" s="58" customFormat="1" ht="20.100000000000001" customHeight="1" x14ac:dyDescent="0.2">
      <c r="A45" s="26"/>
      <c r="B45" s="59"/>
      <c r="C45" s="26" t="s">
        <v>27</v>
      </c>
      <c r="D45" s="29"/>
      <c r="E45" s="29"/>
      <c r="F45" s="29"/>
      <c r="G45" s="26" t="s">
        <v>35</v>
      </c>
      <c r="J45" s="57"/>
      <c r="K45" s="57"/>
      <c r="L45" s="26"/>
      <c r="M45" s="26"/>
      <c r="N45" s="26"/>
      <c r="O45" s="26"/>
      <c r="P45" s="26"/>
      <c r="Q45" s="26"/>
    </row>
  </sheetData>
  <mergeCells count="1">
    <mergeCell ref="O13:Q13"/>
  </mergeCells>
  <printOptions gridLines="1"/>
  <pageMargins left="0.7" right="0.7" top="0.75" bottom="0.75" header="0.3" footer="0.3"/>
  <pageSetup scale="56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9A42-199E-4FBB-BE8E-592C8A3D89C2}">
  <sheetPr codeName="Sheet12">
    <pageSetUpPr fitToPage="1"/>
  </sheetPr>
  <dimension ref="A1:U61"/>
  <sheetViews>
    <sheetView zoomScaleNormal="100" workbookViewId="0">
      <selection activeCell="G7" sqref="G7:H7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4.42578125" style="26" customWidth="1"/>
    <col min="4" max="4" width="13" style="29" customWidth="1"/>
    <col min="5" max="6" width="9.140625" style="29"/>
    <col min="7" max="7" width="46.7109375" style="26" customWidth="1"/>
    <col min="8" max="8" width="14.28515625" style="58" bestFit="1" customWidth="1"/>
    <col min="9" max="9" width="9.140625" style="58"/>
    <col min="10" max="10" width="18" style="57" customWidth="1"/>
    <col min="11" max="11" width="17" style="57" bestFit="1" customWidth="1"/>
    <col min="12" max="12" width="9.140625" style="26"/>
    <col min="13" max="13" width="14.42578125" style="26" bestFit="1" customWidth="1"/>
    <col min="14" max="15" width="15.5703125" style="26" bestFit="1" customWidth="1"/>
    <col min="16" max="16" width="9.140625" style="26"/>
    <col min="17" max="17" width="14.7109375" style="26" customWidth="1"/>
    <col min="18" max="18" width="17.5703125" style="26" bestFit="1" customWidth="1"/>
    <col min="19" max="19" width="16" style="26" bestFit="1" customWidth="1"/>
    <col min="20" max="20" width="12.85546875" style="26" bestFit="1" customWidth="1"/>
    <col min="21" max="21" width="16" style="26" bestFit="1" customWidth="1"/>
    <col min="22" max="16384" width="9.140625" style="26"/>
  </cols>
  <sheetData>
    <row r="1" spans="2:21" ht="20.100000000000001" customHeight="1" x14ac:dyDescent="0.2">
      <c r="B1" s="84" t="s">
        <v>24</v>
      </c>
    </row>
    <row r="2" spans="2:21" ht="20.100000000000001" customHeight="1" x14ac:dyDescent="0.2">
      <c r="B2" s="84" t="s">
        <v>1</v>
      </c>
    </row>
    <row r="3" spans="2:21" ht="20.100000000000001" customHeight="1" x14ac:dyDescent="0.2">
      <c r="B3" s="84" t="s">
        <v>157</v>
      </c>
    </row>
    <row r="5" spans="2:21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  <c r="O5" s="176" t="s">
        <v>162</v>
      </c>
      <c r="P5" s="26"/>
      <c r="Q5" s="26"/>
      <c r="R5" s="26"/>
      <c r="S5" s="26"/>
      <c r="T5" s="26"/>
      <c r="U5" s="26"/>
    </row>
    <row r="6" spans="2:21" ht="20.100000000000001" customHeight="1" x14ac:dyDescent="0.2">
      <c r="B6" s="60"/>
      <c r="K6" s="61"/>
      <c r="O6" s="29"/>
      <c r="P6" s="29"/>
      <c r="Q6" s="29"/>
      <c r="R6" s="29"/>
      <c r="S6" s="29"/>
      <c r="T6" s="29"/>
      <c r="U6" s="29"/>
    </row>
    <row r="7" spans="2:21" ht="20.100000000000001" customHeight="1" x14ac:dyDescent="0.2">
      <c r="B7" s="69">
        <v>45972</v>
      </c>
      <c r="C7" s="70" t="s">
        <v>60</v>
      </c>
      <c r="D7" s="71">
        <v>34161</v>
      </c>
      <c r="E7" s="148">
        <v>429</v>
      </c>
      <c r="F7" s="71" t="s">
        <v>12</v>
      </c>
      <c r="G7" s="70" t="s">
        <v>133</v>
      </c>
      <c r="H7" s="72">
        <v>160</v>
      </c>
      <c r="I7" s="72">
        <v>12</v>
      </c>
      <c r="J7" s="73">
        <f t="shared" ref="J7" si="0">E7*H7*I7</f>
        <v>823680</v>
      </c>
      <c r="K7" s="78">
        <f>SUM(J7:J7)</f>
        <v>823680</v>
      </c>
      <c r="M7" s="57"/>
      <c r="N7" s="57"/>
      <c r="O7" s="67" t="s">
        <v>2</v>
      </c>
      <c r="P7" s="67" t="s">
        <v>136</v>
      </c>
      <c r="Q7" s="67" t="s">
        <v>137</v>
      </c>
      <c r="R7" s="67" t="s">
        <v>138</v>
      </c>
      <c r="S7" s="67"/>
      <c r="T7" s="67" t="s">
        <v>139</v>
      </c>
      <c r="U7" s="67" t="s">
        <v>140</v>
      </c>
    </row>
    <row r="8" spans="2:21" ht="20.100000000000001" customHeight="1" x14ac:dyDescent="0.2">
      <c r="B8" s="60"/>
      <c r="E8" s="19"/>
      <c r="K8" s="62"/>
      <c r="M8" s="57"/>
      <c r="O8" s="69">
        <v>45974</v>
      </c>
      <c r="P8" s="71">
        <v>14261</v>
      </c>
      <c r="Q8" s="73"/>
      <c r="R8" s="73">
        <v>3276406.5</v>
      </c>
      <c r="S8" s="73">
        <f>R8/1.12</f>
        <v>2925362.9464285714</v>
      </c>
      <c r="T8" s="73">
        <f>S8*0.01</f>
        <v>29253.629464285714</v>
      </c>
      <c r="U8" s="73">
        <f>R8-T8</f>
        <v>3247152.8705357141</v>
      </c>
    </row>
    <row r="9" spans="2:21" ht="20.100000000000001" customHeight="1" x14ac:dyDescent="0.2">
      <c r="B9" s="168">
        <v>45974</v>
      </c>
      <c r="C9" s="70" t="s">
        <v>13</v>
      </c>
      <c r="D9" s="88">
        <v>14261</v>
      </c>
      <c r="E9" s="148">
        <v>200</v>
      </c>
      <c r="F9" s="71" t="s">
        <v>12</v>
      </c>
      <c r="G9" s="70" t="s">
        <v>87</v>
      </c>
      <c r="H9" s="72">
        <v>160</v>
      </c>
      <c r="I9" s="72">
        <v>12</v>
      </c>
      <c r="J9" s="73">
        <f t="shared" ref="J9:J17" si="1">E9*H9*I9</f>
        <v>384000</v>
      </c>
      <c r="K9" s="77"/>
      <c r="O9" s="69"/>
      <c r="P9" s="71"/>
      <c r="Q9" s="73"/>
      <c r="R9" s="73"/>
      <c r="S9" s="73"/>
      <c r="T9" s="73"/>
      <c r="U9" s="73"/>
    </row>
    <row r="10" spans="2:21" ht="20.100000000000001" customHeight="1" x14ac:dyDescent="0.2">
      <c r="B10" s="75"/>
      <c r="C10" s="76"/>
      <c r="D10" s="98"/>
      <c r="E10" s="181">
        <v>150</v>
      </c>
      <c r="F10" s="71" t="s">
        <v>12</v>
      </c>
      <c r="G10" s="70" t="s">
        <v>88</v>
      </c>
      <c r="H10" s="72">
        <v>92.5</v>
      </c>
      <c r="I10" s="72">
        <v>24</v>
      </c>
      <c r="J10" s="73">
        <f t="shared" si="1"/>
        <v>333000</v>
      </c>
      <c r="K10" s="77"/>
      <c r="O10" s="69">
        <v>45989</v>
      </c>
      <c r="P10" s="71">
        <v>14306</v>
      </c>
      <c r="Q10" s="73"/>
      <c r="R10" s="73">
        <v>2736000</v>
      </c>
      <c r="S10" s="73">
        <f>R10/1.12</f>
        <v>2442857.1428571427</v>
      </c>
      <c r="T10" s="73">
        <f>S10*0.01</f>
        <v>24428.571428571428</v>
      </c>
      <c r="U10" s="73">
        <f>R10-T10</f>
        <v>2711571.4285714286</v>
      </c>
    </row>
    <row r="11" spans="2:21" ht="20.100000000000001" customHeight="1" x14ac:dyDescent="0.2">
      <c r="B11" s="60"/>
      <c r="D11" s="136"/>
      <c r="E11" s="181">
        <v>100</v>
      </c>
      <c r="F11" s="71" t="s">
        <v>12</v>
      </c>
      <c r="G11" s="70" t="s">
        <v>113</v>
      </c>
      <c r="H11" s="72">
        <v>55</v>
      </c>
      <c r="I11" s="72">
        <v>36</v>
      </c>
      <c r="J11" s="73">
        <f t="shared" si="1"/>
        <v>198000</v>
      </c>
      <c r="K11" s="77"/>
      <c r="O11" s="69"/>
      <c r="P11" s="71"/>
      <c r="Q11" s="73"/>
      <c r="R11" s="73"/>
      <c r="S11" s="73"/>
      <c r="T11" s="73"/>
      <c r="U11" s="73"/>
    </row>
    <row r="12" spans="2:21" ht="20.100000000000001" customHeight="1" x14ac:dyDescent="0.2">
      <c r="B12" s="60"/>
      <c r="D12" s="136"/>
      <c r="E12" s="181">
        <v>500</v>
      </c>
      <c r="F12" s="71" t="s">
        <v>12</v>
      </c>
      <c r="G12" s="70" t="s">
        <v>31</v>
      </c>
      <c r="H12" s="72">
        <v>181</v>
      </c>
      <c r="I12" s="72">
        <v>12</v>
      </c>
      <c r="J12" s="73">
        <f t="shared" si="1"/>
        <v>1086000</v>
      </c>
      <c r="K12" s="77"/>
      <c r="O12" s="198" t="s">
        <v>141</v>
      </c>
      <c r="P12" s="199"/>
      <c r="Q12" s="200"/>
      <c r="R12" s="74">
        <f>SUM(R8:R11)</f>
        <v>6012406.5</v>
      </c>
      <c r="S12" s="74">
        <f>SUM(S8:S11)</f>
        <v>5368220.0892857146</v>
      </c>
      <c r="T12" s="74">
        <f>SUM(T8:T11)</f>
        <v>53682.200892857145</v>
      </c>
      <c r="U12" s="74">
        <f>SUM(U8:U11)</f>
        <v>5958724.2991071427</v>
      </c>
    </row>
    <row r="13" spans="2:21" ht="20.100000000000001" customHeight="1" x14ac:dyDescent="0.2">
      <c r="B13" s="60"/>
      <c r="D13" s="136"/>
      <c r="E13" s="181">
        <v>50</v>
      </c>
      <c r="F13" s="71" t="s">
        <v>12</v>
      </c>
      <c r="G13" s="70" t="s">
        <v>158</v>
      </c>
      <c r="H13" s="72">
        <v>61.75</v>
      </c>
      <c r="I13" s="72">
        <v>36</v>
      </c>
      <c r="J13" s="73">
        <f t="shared" si="1"/>
        <v>111150</v>
      </c>
      <c r="K13" s="77"/>
    </row>
    <row r="14" spans="2:21" ht="20.100000000000001" customHeight="1" x14ac:dyDescent="0.2">
      <c r="B14" s="60"/>
      <c r="D14" s="136"/>
      <c r="E14" s="181">
        <v>200</v>
      </c>
      <c r="F14" s="71" t="s">
        <v>12</v>
      </c>
      <c r="G14" s="147" t="s">
        <v>76</v>
      </c>
      <c r="H14" s="72">
        <v>180</v>
      </c>
      <c r="I14" s="72">
        <v>24</v>
      </c>
      <c r="J14" s="73">
        <f t="shared" si="1"/>
        <v>864000</v>
      </c>
      <c r="K14" s="77"/>
      <c r="Q14" s="29" t="s">
        <v>143</v>
      </c>
      <c r="R14" s="57">
        <f>R12</f>
        <v>6012406.5</v>
      </c>
    </row>
    <row r="15" spans="2:21" ht="20.100000000000001" customHeight="1" x14ac:dyDescent="0.2">
      <c r="B15" s="60"/>
      <c r="D15" s="136"/>
      <c r="E15" s="181">
        <v>42</v>
      </c>
      <c r="F15" s="71" t="s">
        <v>12</v>
      </c>
      <c r="G15" s="147" t="s">
        <v>82</v>
      </c>
      <c r="H15" s="72">
        <v>98.75</v>
      </c>
      <c r="I15" s="72">
        <v>36</v>
      </c>
      <c r="J15" s="73">
        <f t="shared" si="1"/>
        <v>149310</v>
      </c>
      <c r="K15" s="77"/>
      <c r="Q15" s="29" t="s">
        <v>144</v>
      </c>
      <c r="R15" s="57">
        <v>17363145</v>
      </c>
    </row>
    <row r="16" spans="2:21" ht="20.100000000000001" customHeight="1" thickBot="1" x14ac:dyDescent="0.25">
      <c r="B16" s="60"/>
      <c r="D16" s="136"/>
      <c r="E16" s="181">
        <v>41</v>
      </c>
      <c r="F16" s="71" t="s">
        <v>12</v>
      </c>
      <c r="G16" s="147" t="s">
        <v>159</v>
      </c>
      <c r="H16" s="72">
        <v>54.625</v>
      </c>
      <c r="I16" s="72">
        <v>36</v>
      </c>
      <c r="J16" s="73">
        <f t="shared" si="1"/>
        <v>80626.5</v>
      </c>
      <c r="K16" s="77"/>
      <c r="R16" s="180">
        <f>R14/R15</f>
        <v>0.34627404770276354</v>
      </c>
    </row>
    <row r="17" spans="2:14" ht="20.100000000000001" customHeight="1" thickTop="1" x14ac:dyDescent="0.2">
      <c r="B17" s="63"/>
      <c r="C17" s="64"/>
      <c r="D17" s="99"/>
      <c r="E17" s="181">
        <v>20</v>
      </c>
      <c r="F17" s="71" t="s">
        <v>12</v>
      </c>
      <c r="G17" s="70" t="s">
        <v>160</v>
      </c>
      <c r="H17" s="72">
        <v>293</v>
      </c>
      <c r="I17" s="72">
        <v>12</v>
      </c>
      <c r="J17" s="73">
        <f t="shared" si="1"/>
        <v>70320</v>
      </c>
      <c r="K17" s="146">
        <f>SUM(J9:J17)</f>
        <v>3276406.5</v>
      </c>
      <c r="N17" s="26">
        <v>3</v>
      </c>
    </row>
    <row r="18" spans="2:14" ht="20.100000000000001" customHeight="1" x14ac:dyDescent="0.2">
      <c r="B18" s="60"/>
      <c r="E18" s="19"/>
      <c r="H18" s="58" t="s">
        <v>161</v>
      </c>
      <c r="K18" s="61"/>
    </row>
    <row r="19" spans="2:14" ht="20.100000000000001" customHeight="1" x14ac:dyDescent="0.2">
      <c r="B19" s="168">
        <v>45982</v>
      </c>
      <c r="C19" s="89" t="s">
        <v>13</v>
      </c>
      <c r="D19" s="88">
        <v>14284</v>
      </c>
      <c r="E19" s="148">
        <v>100</v>
      </c>
      <c r="F19" s="71" t="s">
        <v>12</v>
      </c>
      <c r="G19" s="70" t="s">
        <v>79</v>
      </c>
      <c r="H19" s="72">
        <v>187</v>
      </c>
      <c r="I19" s="72">
        <v>12</v>
      </c>
      <c r="J19" s="73">
        <f t="shared" ref="J19:J24" si="2">E19*H19*I19</f>
        <v>224400</v>
      </c>
      <c r="K19" s="77"/>
    </row>
    <row r="20" spans="2:14" ht="20.100000000000001" customHeight="1" x14ac:dyDescent="0.2">
      <c r="B20" s="75"/>
      <c r="C20" s="76"/>
      <c r="D20" s="98"/>
      <c r="E20" s="181">
        <v>100</v>
      </c>
      <c r="F20" s="71" t="s">
        <v>12</v>
      </c>
      <c r="G20" s="147" t="s">
        <v>120</v>
      </c>
      <c r="H20" s="72">
        <v>158.5</v>
      </c>
      <c r="I20" s="72">
        <v>12</v>
      </c>
      <c r="J20" s="73">
        <f t="shared" si="2"/>
        <v>190200</v>
      </c>
      <c r="K20" s="77"/>
    </row>
    <row r="21" spans="2:14" ht="20.100000000000001" customHeight="1" x14ac:dyDescent="0.2">
      <c r="B21" s="60"/>
      <c r="D21" s="136"/>
      <c r="E21" s="181">
        <v>9</v>
      </c>
      <c r="F21" s="71" t="s">
        <v>12</v>
      </c>
      <c r="G21" s="147" t="s">
        <v>159</v>
      </c>
      <c r="H21" s="72">
        <v>54.625</v>
      </c>
      <c r="I21" s="72">
        <v>36</v>
      </c>
      <c r="J21" s="73">
        <f t="shared" si="2"/>
        <v>17698.5</v>
      </c>
      <c r="K21" s="77"/>
    </row>
    <row r="22" spans="2:14" ht="20.100000000000001" customHeight="1" x14ac:dyDescent="0.2">
      <c r="B22" s="60"/>
      <c r="D22" s="136"/>
      <c r="E22" s="181">
        <v>8</v>
      </c>
      <c r="F22" s="71" t="s">
        <v>12</v>
      </c>
      <c r="G22" s="147" t="s">
        <v>82</v>
      </c>
      <c r="H22" s="72">
        <v>98.75</v>
      </c>
      <c r="I22" s="72">
        <v>36</v>
      </c>
      <c r="J22" s="73">
        <f t="shared" si="2"/>
        <v>28440</v>
      </c>
      <c r="K22" s="77"/>
    </row>
    <row r="23" spans="2:14" ht="20.100000000000001" customHeight="1" x14ac:dyDescent="0.2">
      <c r="B23" s="60"/>
      <c r="D23" s="136"/>
      <c r="E23" s="181">
        <v>500</v>
      </c>
      <c r="F23" s="71" t="s">
        <v>12</v>
      </c>
      <c r="G23" s="70" t="s">
        <v>31</v>
      </c>
      <c r="H23" s="72">
        <v>181</v>
      </c>
      <c r="I23" s="72">
        <v>12</v>
      </c>
      <c r="J23" s="73">
        <f t="shared" si="2"/>
        <v>1086000</v>
      </c>
      <c r="K23" s="77"/>
    </row>
    <row r="24" spans="2:14" ht="20.100000000000001" customHeight="1" x14ac:dyDescent="0.2">
      <c r="B24" s="63"/>
      <c r="C24" s="64"/>
      <c r="D24" s="99"/>
      <c r="E24" s="181">
        <v>50</v>
      </c>
      <c r="F24" s="71" t="s">
        <v>12</v>
      </c>
      <c r="G24" s="70" t="s">
        <v>146</v>
      </c>
      <c r="H24" s="72">
        <v>240</v>
      </c>
      <c r="I24" s="72">
        <v>24</v>
      </c>
      <c r="J24" s="73">
        <f t="shared" si="2"/>
        <v>288000</v>
      </c>
      <c r="K24" s="141">
        <f>SUM(J19:J24)</f>
        <v>1834738.5</v>
      </c>
      <c r="N24" s="26">
        <v>2</v>
      </c>
    </row>
    <row r="25" spans="2:14" ht="20.100000000000001" customHeight="1" x14ac:dyDescent="0.2">
      <c r="B25" s="60"/>
      <c r="E25" s="19"/>
      <c r="K25" s="61"/>
    </row>
    <row r="26" spans="2:14" ht="20.100000000000001" customHeight="1" x14ac:dyDescent="0.2">
      <c r="B26" s="69">
        <v>45988</v>
      </c>
      <c r="C26" s="70" t="s">
        <v>72</v>
      </c>
      <c r="D26" s="71">
        <v>19614</v>
      </c>
      <c r="E26" s="148">
        <v>400</v>
      </c>
      <c r="F26" s="71" t="s">
        <v>12</v>
      </c>
      <c r="G26" s="147" t="s">
        <v>148</v>
      </c>
      <c r="H26" s="72">
        <v>150</v>
      </c>
      <c r="I26" s="72">
        <v>12</v>
      </c>
      <c r="J26" s="73">
        <f>E26*H26*I26</f>
        <v>720000</v>
      </c>
      <c r="K26" s="173">
        <f>J26</f>
        <v>720000</v>
      </c>
      <c r="N26" s="182">
        <v>1</v>
      </c>
    </row>
    <row r="27" spans="2:14" ht="20.100000000000001" customHeight="1" x14ac:dyDescent="0.2">
      <c r="B27" s="60"/>
      <c r="E27" s="19"/>
      <c r="K27" s="61"/>
    </row>
    <row r="28" spans="2:14" ht="20.100000000000001" customHeight="1" x14ac:dyDescent="0.2">
      <c r="B28" s="168">
        <v>45989</v>
      </c>
      <c r="C28" s="89" t="s">
        <v>13</v>
      </c>
      <c r="D28" s="88">
        <v>14306</v>
      </c>
      <c r="E28" s="148">
        <v>100</v>
      </c>
      <c r="F28" s="71" t="s">
        <v>12</v>
      </c>
      <c r="G28" s="147" t="s">
        <v>76</v>
      </c>
      <c r="H28" s="72">
        <v>180</v>
      </c>
      <c r="I28" s="72">
        <v>24</v>
      </c>
      <c r="J28" s="73">
        <f>E28*H28*I28</f>
        <v>432000</v>
      </c>
      <c r="K28" s="77"/>
    </row>
    <row r="29" spans="2:14" ht="20.100000000000001" customHeight="1" x14ac:dyDescent="0.2">
      <c r="B29" s="75"/>
      <c r="C29" s="76"/>
      <c r="D29" s="98"/>
      <c r="E29" s="181">
        <v>100</v>
      </c>
      <c r="F29" s="71" t="s">
        <v>12</v>
      </c>
      <c r="G29" s="70" t="s">
        <v>30</v>
      </c>
      <c r="H29" s="72">
        <v>245</v>
      </c>
      <c r="I29" s="72">
        <v>12</v>
      </c>
      <c r="J29" s="73">
        <f t="shared" ref="J29:J30" si="3">E29*H29*I29</f>
        <v>294000</v>
      </c>
      <c r="K29" s="77"/>
    </row>
    <row r="30" spans="2:14" ht="20.100000000000001" customHeight="1" x14ac:dyDescent="0.2">
      <c r="B30" s="63"/>
      <c r="C30" s="64"/>
      <c r="D30" s="99"/>
      <c r="E30" s="181">
        <v>500</v>
      </c>
      <c r="F30" s="71" t="s">
        <v>12</v>
      </c>
      <c r="G30" s="70" t="s">
        <v>14</v>
      </c>
      <c r="H30" s="72">
        <v>335</v>
      </c>
      <c r="I30" s="72">
        <v>12</v>
      </c>
      <c r="J30" s="73">
        <f t="shared" si="3"/>
        <v>2010000</v>
      </c>
      <c r="K30" s="146">
        <f>SUM(J28:J30)</f>
        <v>2736000</v>
      </c>
      <c r="N30" s="26">
        <v>3</v>
      </c>
    </row>
    <row r="31" spans="2:14" ht="20.100000000000001" customHeight="1" x14ac:dyDescent="0.2">
      <c r="B31" s="60"/>
      <c r="E31" s="19"/>
      <c r="K31" s="174"/>
    </row>
    <row r="32" spans="2:14" ht="20.100000000000001" customHeight="1" x14ac:dyDescent="0.2">
      <c r="B32" s="69">
        <v>45989</v>
      </c>
      <c r="C32" s="70" t="s">
        <v>13</v>
      </c>
      <c r="D32" s="71">
        <v>14306</v>
      </c>
      <c r="E32" s="148">
        <v>500</v>
      </c>
      <c r="F32" s="71" t="s">
        <v>12</v>
      </c>
      <c r="G32" s="70" t="s">
        <v>80</v>
      </c>
      <c r="H32" s="72">
        <v>820</v>
      </c>
      <c r="I32" s="72">
        <v>12</v>
      </c>
      <c r="J32" s="73">
        <f>E32*H32*I32</f>
        <v>4920000</v>
      </c>
      <c r="K32" s="77"/>
    </row>
    <row r="33" spans="2:18" ht="20.100000000000001" customHeight="1" x14ac:dyDescent="0.2">
      <c r="B33" s="63"/>
      <c r="C33" s="64"/>
      <c r="D33" s="99"/>
      <c r="E33" s="181">
        <v>300</v>
      </c>
      <c r="F33" s="71" t="s">
        <v>12</v>
      </c>
      <c r="G33" s="70" t="s">
        <v>81</v>
      </c>
      <c r="H33" s="72">
        <v>422.5</v>
      </c>
      <c r="I33" s="72">
        <v>24</v>
      </c>
      <c r="J33" s="73">
        <f t="shared" ref="J33" si="4">E33*H33*I33</f>
        <v>3042000</v>
      </c>
      <c r="K33" s="141">
        <f>SUM(J32:J33)</f>
        <v>7962000</v>
      </c>
      <c r="N33" s="26">
        <v>8</v>
      </c>
    </row>
    <row r="34" spans="2:18" ht="20.100000000000001" customHeight="1" x14ac:dyDescent="0.2">
      <c r="B34" s="60"/>
      <c r="E34" s="19"/>
      <c r="K34" s="174"/>
      <c r="O34" s="57"/>
    </row>
    <row r="35" spans="2:18" ht="20.100000000000001" customHeight="1" thickBot="1" x14ac:dyDescent="0.25">
      <c r="B35" s="79"/>
      <c r="C35" s="80"/>
      <c r="D35" s="81"/>
      <c r="E35" s="81"/>
      <c r="F35" s="81"/>
      <c r="G35" s="80"/>
      <c r="H35" s="82"/>
      <c r="I35" s="83" t="s">
        <v>110</v>
      </c>
      <c r="J35" s="90">
        <f>SUM(J7:J34)</f>
        <v>17352825</v>
      </c>
      <c r="K35" s="78">
        <f>J35-K17-K24-K30-K7-K26-K33</f>
        <v>0</v>
      </c>
      <c r="O35" s="137"/>
      <c r="Q35" s="137"/>
      <c r="R35" s="57">
        <f>K17+K26+K30</f>
        <v>6732406.5</v>
      </c>
    </row>
    <row r="36" spans="2:18" ht="20.100000000000001" customHeight="1" thickTop="1" x14ac:dyDescent="0.2"/>
    <row r="38" spans="2:18" ht="20.100000000000001" customHeight="1" x14ac:dyDescent="0.2">
      <c r="B38" s="59" t="s">
        <v>25</v>
      </c>
      <c r="F38" s="28" t="s">
        <v>26</v>
      </c>
    </row>
    <row r="39" spans="2:18" ht="20.100000000000001" customHeight="1" x14ac:dyDescent="0.2">
      <c r="C39" s="26" t="s">
        <v>27</v>
      </c>
      <c r="G39" s="26" t="s">
        <v>35</v>
      </c>
    </row>
    <row r="44" spans="2:18" ht="20.100000000000001" customHeight="1" x14ac:dyDescent="0.2">
      <c r="B44" s="84" t="s">
        <v>23</v>
      </c>
    </row>
    <row r="45" spans="2:18" ht="20.100000000000001" customHeight="1" x14ac:dyDescent="0.2">
      <c r="B45" s="84" t="s">
        <v>1</v>
      </c>
    </row>
    <row r="46" spans="2:18" ht="20.100000000000001" customHeight="1" x14ac:dyDescent="0.2">
      <c r="B46" s="84" t="s">
        <v>157</v>
      </c>
    </row>
    <row r="48" spans="2:18" ht="20.100000000000001" customHeight="1" x14ac:dyDescent="0.2">
      <c r="B48" s="66" t="s">
        <v>2</v>
      </c>
      <c r="C48" s="67" t="s">
        <v>3</v>
      </c>
      <c r="D48" s="67" t="s">
        <v>4</v>
      </c>
      <c r="E48" s="67" t="s">
        <v>21</v>
      </c>
      <c r="F48" s="67" t="s">
        <v>6</v>
      </c>
      <c r="G48" s="67" t="s">
        <v>7</v>
      </c>
      <c r="H48" s="68" t="s">
        <v>8</v>
      </c>
      <c r="I48" s="68" t="s">
        <v>9</v>
      </c>
      <c r="J48" s="68" t="s">
        <v>10</v>
      </c>
      <c r="K48" s="68" t="s">
        <v>22</v>
      </c>
    </row>
    <row r="49" spans="1:21" ht="18.75" customHeight="1" x14ac:dyDescent="0.2">
      <c r="A49" s="29"/>
      <c r="B49" s="60"/>
      <c r="K49" s="61"/>
    </row>
    <row r="50" spans="1:21" ht="18.75" customHeight="1" x14ac:dyDescent="0.2">
      <c r="A50" s="29"/>
      <c r="B50" s="69">
        <v>45974</v>
      </c>
      <c r="C50" s="70" t="s">
        <v>13</v>
      </c>
      <c r="D50" s="71">
        <v>14262</v>
      </c>
      <c r="E50" s="71">
        <v>100</v>
      </c>
      <c r="F50" s="71" t="s">
        <v>12</v>
      </c>
      <c r="G50" s="178" t="s">
        <v>142</v>
      </c>
      <c r="H50" s="72">
        <v>273</v>
      </c>
      <c r="I50" s="72">
        <v>12</v>
      </c>
      <c r="J50" s="138">
        <f>E50*H50*I50</f>
        <v>327600</v>
      </c>
      <c r="K50" s="143">
        <f>SUM(J50)</f>
        <v>327600</v>
      </c>
      <c r="N50" s="57">
        <v>1</v>
      </c>
    </row>
    <row r="51" spans="1:21" ht="20.100000000000001" customHeight="1" x14ac:dyDescent="0.2">
      <c r="B51" s="60"/>
      <c r="K51" s="61"/>
    </row>
    <row r="52" spans="1:21" ht="20.100000000000001" customHeight="1" x14ac:dyDescent="0.2">
      <c r="B52" s="69">
        <v>45982</v>
      </c>
      <c r="C52" s="70" t="s">
        <v>13</v>
      </c>
      <c r="D52" s="71">
        <v>14285</v>
      </c>
      <c r="E52" s="71">
        <v>100</v>
      </c>
      <c r="F52" s="71" t="s">
        <v>12</v>
      </c>
      <c r="G52" s="70" t="s">
        <v>112</v>
      </c>
      <c r="H52" s="72">
        <v>255.5</v>
      </c>
      <c r="I52" s="139">
        <v>24</v>
      </c>
      <c r="J52" s="138">
        <f>E52*H52*I52</f>
        <v>613200</v>
      </c>
      <c r="K52" s="74">
        <f>SUM(J52:J52)</f>
        <v>613200</v>
      </c>
      <c r="M52" s="57"/>
      <c r="N52" s="26">
        <v>1</v>
      </c>
    </row>
    <row r="53" spans="1:21" ht="20.100000000000001" customHeight="1" x14ac:dyDescent="0.2">
      <c r="B53" s="60"/>
      <c r="H53" s="150"/>
      <c r="I53" s="150"/>
      <c r="J53" s="96"/>
      <c r="K53" s="62"/>
      <c r="M53" s="57"/>
    </row>
    <row r="54" spans="1:21" ht="20.100000000000001" customHeight="1" x14ac:dyDescent="0.2">
      <c r="B54" s="69">
        <v>45989</v>
      </c>
      <c r="C54" s="70" t="s">
        <v>13</v>
      </c>
      <c r="D54" s="71">
        <v>14307</v>
      </c>
      <c r="E54" s="71">
        <v>100</v>
      </c>
      <c r="F54" s="71" t="s">
        <v>12</v>
      </c>
      <c r="G54" s="70" t="s">
        <v>112</v>
      </c>
      <c r="H54" s="72">
        <v>255.5</v>
      </c>
      <c r="I54" s="72">
        <v>24</v>
      </c>
      <c r="J54" s="138">
        <f>E54*H54*I54</f>
        <v>613200</v>
      </c>
      <c r="K54" s="74">
        <f>SUM(J54)</f>
        <v>613200</v>
      </c>
      <c r="M54" s="57"/>
      <c r="N54" s="26">
        <v>1</v>
      </c>
    </row>
    <row r="55" spans="1:21" ht="20.100000000000001" customHeight="1" x14ac:dyDescent="0.2">
      <c r="B55" s="60"/>
      <c r="K55" s="61"/>
    </row>
    <row r="56" spans="1:21" ht="20.100000000000001" customHeight="1" thickBot="1" x14ac:dyDescent="0.25">
      <c r="B56" s="79"/>
      <c r="C56" s="80"/>
      <c r="D56" s="81"/>
      <c r="E56" s="81"/>
      <c r="F56" s="81"/>
      <c r="G56" s="80"/>
      <c r="H56" s="82"/>
      <c r="I56" s="83" t="s">
        <v>111</v>
      </c>
      <c r="J56" s="90">
        <f>SUM(J49:J55)</f>
        <v>1554000</v>
      </c>
      <c r="K56" s="78">
        <f>J56-K52-K50-K54</f>
        <v>0</v>
      </c>
    </row>
    <row r="57" spans="1:21" ht="20.100000000000001" customHeight="1" thickTop="1" x14ac:dyDescent="0.2">
      <c r="J57" s="57">
        <f>K7+K50+K17+K24+K52+K54+K30</f>
        <v>10224825</v>
      </c>
      <c r="O57" s="57"/>
    </row>
    <row r="58" spans="1:21" ht="20.100000000000001" customHeight="1" x14ac:dyDescent="0.2">
      <c r="J58" s="57">
        <f>J57*0.6</f>
        <v>6134895</v>
      </c>
      <c r="M58" s="57"/>
      <c r="N58" s="57">
        <f>13010565+720000+720000+1629174</f>
        <v>16079739</v>
      </c>
    </row>
    <row r="59" spans="1:21" ht="20.100000000000001" customHeight="1" x14ac:dyDescent="0.2">
      <c r="N59" s="57">
        <f>N58-1185825-546750</f>
        <v>14347164</v>
      </c>
    </row>
    <row r="60" spans="1:21" ht="20.100000000000001" customHeight="1" x14ac:dyDescent="0.2">
      <c r="B60" s="59" t="s">
        <v>25</v>
      </c>
      <c r="F60" s="28" t="s">
        <v>26</v>
      </c>
      <c r="R60" s="58"/>
      <c r="S60" s="58"/>
      <c r="T60" s="58"/>
      <c r="U60" s="58"/>
    </row>
    <row r="61" spans="1:21" s="58" customFormat="1" ht="20.100000000000001" customHeight="1" x14ac:dyDescent="0.2">
      <c r="A61" s="26"/>
      <c r="B61" s="59"/>
      <c r="C61" s="26" t="s">
        <v>27</v>
      </c>
      <c r="D61" s="29"/>
      <c r="E61" s="29"/>
      <c r="F61" s="29"/>
      <c r="G61" s="26" t="s">
        <v>35</v>
      </c>
      <c r="J61" s="57"/>
      <c r="K61" s="57"/>
      <c r="L61" s="26"/>
      <c r="M61" s="26"/>
      <c r="N61" s="26">
        <f>13010565-1185825-546750</f>
        <v>11277990</v>
      </c>
      <c r="O61" s="26"/>
      <c r="P61" s="26"/>
      <c r="Q61" s="26"/>
      <c r="R61" s="26"/>
      <c r="S61" s="26"/>
      <c r="T61" s="26"/>
      <c r="U61" s="26"/>
    </row>
  </sheetData>
  <mergeCells count="1">
    <mergeCell ref="O12:Q12"/>
  </mergeCells>
  <printOptions gridLines="1"/>
  <pageMargins left="0.7" right="0.7" top="0.75" bottom="0.75" header="0.3" footer="0.3"/>
  <pageSetup scale="56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344C-8371-4BE6-B910-7D92D0C4F2D1}">
  <sheetPr codeName="Sheet13">
    <pageSetUpPr fitToPage="1"/>
  </sheetPr>
  <dimension ref="A1:T69"/>
  <sheetViews>
    <sheetView zoomScaleNormal="100" workbookViewId="0">
      <selection activeCell="K43" sqref="K43"/>
    </sheetView>
  </sheetViews>
  <sheetFormatPr defaultRowHeight="20.100000000000001" customHeight="1" x14ac:dyDescent="0.2"/>
  <cols>
    <col min="1" max="1" width="3.140625" style="26" customWidth="1"/>
    <col min="2" max="2" width="15.28515625" style="59" customWidth="1"/>
    <col min="3" max="3" width="14.42578125" style="26" customWidth="1"/>
    <col min="4" max="4" width="13" style="29" customWidth="1"/>
    <col min="5" max="5" width="12.5703125" style="29" bestFit="1" customWidth="1"/>
    <col min="6" max="6" width="9.140625" style="29"/>
    <col min="7" max="7" width="62.85546875" style="26" bestFit="1" customWidth="1"/>
    <col min="8" max="8" width="14.28515625" style="58" bestFit="1" customWidth="1"/>
    <col min="9" max="9" width="9.140625" style="58"/>
    <col min="10" max="10" width="18" style="57" customWidth="1"/>
    <col min="11" max="11" width="17" style="57" bestFit="1" customWidth="1"/>
    <col min="12" max="12" width="9.140625" style="26"/>
    <col min="13" max="13" width="14.42578125" style="26" bestFit="1" customWidth="1"/>
    <col min="14" max="15" width="15.5703125" style="26" bestFit="1" customWidth="1"/>
    <col min="16" max="16" width="14" style="26" customWidth="1"/>
    <col min="17" max="17" width="17.5703125" style="26" bestFit="1" customWidth="1"/>
    <col min="18" max="18" width="16" style="26" bestFit="1" customWidth="1"/>
    <col min="19" max="19" width="12.85546875" style="26" bestFit="1" customWidth="1"/>
    <col min="20" max="20" width="16" style="26" bestFit="1" customWidth="1"/>
    <col min="21" max="16384" width="9.140625" style="26"/>
  </cols>
  <sheetData>
    <row r="1" spans="2:20" ht="20.100000000000001" customHeight="1" x14ac:dyDescent="0.2">
      <c r="B1" s="84" t="s">
        <v>24</v>
      </c>
    </row>
    <row r="2" spans="2:20" ht="20.100000000000001" customHeight="1" x14ac:dyDescent="0.2">
      <c r="B2" s="84" t="s">
        <v>1</v>
      </c>
    </row>
    <row r="3" spans="2:20" ht="20.100000000000001" customHeight="1" x14ac:dyDescent="0.2">
      <c r="B3" s="84" t="s">
        <v>163</v>
      </c>
    </row>
    <row r="5" spans="2:20" s="29" customFormat="1" ht="20.100000000000001" customHeight="1" x14ac:dyDescent="0.2">
      <c r="B5" s="66" t="s">
        <v>2</v>
      </c>
      <c r="C5" s="67" t="s">
        <v>3</v>
      </c>
      <c r="D5" s="67" t="s">
        <v>4</v>
      </c>
      <c r="E5" s="67" t="s">
        <v>21</v>
      </c>
      <c r="F5" s="67" t="s">
        <v>6</v>
      </c>
      <c r="G5" s="67" t="s">
        <v>7</v>
      </c>
      <c r="H5" s="68" t="s">
        <v>8</v>
      </c>
      <c r="I5" s="68" t="s">
        <v>9</v>
      </c>
      <c r="J5" s="68" t="s">
        <v>10</v>
      </c>
      <c r="K5" s="68" t="s">
        <v>22</v>
      </c>
      <c r="N5" s="176" t="s">
        <v>164</v>
      </c>
      <c r="O5" s="26"/>
      <c r="P5" s="26"/>
      <c r="Q5" s="26"/>
      <c r="R5" s="26"/>
      <c r="S5" s="26"/>
      <c r="T5" s="26"/>
    </row>
    <row r="6" spans="2:20" ht="20.100000000000001" customHeight="1" x14ac:dyDescent="0.2">
      <c r="B6" s="60"/>
      <c r="K6" s="61"/>
      <c r="N6" s="29"/>
      <c r="O6" s="29"/>
      <c r="P6" s="29"/>
      <c r="Q6" s="29"/>
      <c r="R6" s="29"/>
      <c r="S6" s="29"/>
      <c r="T6" s="29"/>
    </row>
    <row r="7" spans="2:20" ht="20.100000000000001" customHeight="1" x14ac:dyDescent="0.2">
      <c r="B7" s="69">
        <v>46003</v>
      </c>
      <c r="C7" s="70" t="s">
        <v>13</v>
      </c>
      <c r="D7" s="149">
        <v>14339</v>
      </c>
      <c r="E7" s="71">
        <v>80</v>
      </c>
      <c r="F7" s="71" t="s">
        <v>12</v>
      </c>
      <c r="G7" s="70" t="s">
        <v>155</v>
      </c>
      <c r="H7" s="72">
        <v>615</v>
      </c>
      <c r="I7" s="72">
        <v>12</v>
      </c>
      <c r="J7" s="73">
        <f t="shared" ref="J7:J10" si="0">E7*H7*I7</f>
        <v>590400</v>
      </c>
      <c r="K7" s="77"/>
      <c r="M7" s="57"/>
      <c r="N7" s="67" t="s">
        <v>2</v>
      </c>
      <c r="O7" s="67" t="s">
        <v>136</v>
      </c>
      <c r="P7" s="67" t="s">
        <v>137</v>
      </c>
      <c r="Q7" s="67" t="s">
        <v>138</v>
      </c>
      <c r="R7" s="67"/>
      <c r="S7" s="67" t="s">
        <v>139</v>
      </c>
      <c r="T7" s="67" t="s">
        <v>140</v>
      </c>
    </row>
    <row r="8" spans="2:20" ht="20.100000000000001" customHeight="1" x14ac:dyDescent="0.2">
      <c r="B8" s="151"/>
      <c r="C8" s="152"/>
      <c r="D8" s="152"/>
      <c r="E8" s="71">
        <v>10</v>
      </c>
      <c r="F8" s="71" t="s">
        <v>12</v>
      </c>
      <c r="G8" s="70" t="s">
        <v>119</v>
      </c>
      <c r="H8" s="72">
        <v>293</v>
      </c>
      <c r="I8" s="72">
        <v>12</v>
      </c>
      <c r="J8" s="73">
        <f t="shared" si="0"/>
        <v>35160</v>
      </c>
      <c r="K8" s="78">
        <f>SUM(J7:J8)</f>
        <v>625560</v>
      </c>
      <c r="M8" s="57"/>
      <c r="N8" s="69">
        <v>46003</v>
      </c>
      <c r="O8" s="71">
        <v>14339</v>
      </c>
      <c r="P8" s="73"/>
      <c r="Q8" s="73">
        <v>625560</v>
      </c>
      <c r="R8" s="73">
        <f>Q8/1.12</f>
        <v>558535.7142857142</v>
      </c>
      <c r="S8" s="73">
        <f>R8*0.01</f>
        <v>5585.3571428571422</v>
      </c>
      <c r="T8" s="73">
        <f>Q8-S8</f>
        <v>619974.64285714284</v>
      </c>
    </row>
    <row r="9" spans="2:20" ht="20.100000000000001" customHeight="1" x14ac:dyDescent="0.2">
      <c r="B9" s="60"/>
      <c r="K9" s="62"/>
      <c r="M9" s="57"/>
      <c r="N9" s="69"/>
      <c r="O9" s="71"/>
      <c r="P9" s="73"/>
      <c r="Q9" s="73"/>
      <c r="R9" s="73"/>
      <c r="S9" s="73"/>
      <c r="T9" s="73"/>
    </row>
    <row r="10" spans="2:20" ht="20.100000000000001" customHeight="1" x14ac:dyDescent="0.2">
      <c r="B10" s="69"/>
      <c r="C10" s="70"/>
      <c r="D10" s="71"/>
      <c r="E10" s="71"/>
      <c r="F10" s="71"/>
      <c r="G10" s="70"/>
      <c r="H10" s="72"/>
      <c r="I10" s="72"/>
      <c r="J10" s="138">
        <f t="shared" si="0"/>
        <v>0</v>
      </c>
      <c r="K10" s="74">
        <f>SUM(J10:J10)</f>
        <v>0</v>
      </c>
      <c r="M10" s="57"/>
      <c r="N10" s="69"/>
      <c r="O10" s="71"/>
      <c r="P10" s="73"/>
      <c r="Q10" s="73"/>
      <c r="R10" s="73">
        <f>Q10/1.12</f>
        <v>0</v>
      </c>
      <c r="S10" s="73">
        <f>R10*0.01</f>
        <v>0</v>
      </c>
      <c r="T10" s="73">
        <f>Q10-S10</f>
        <v>0</v>
      </c>
    </row>
    <row r="11" spans="2:20" ht="20.100000000000001" customHeight="1" x14ac:dyDescent="0.2">
      <c r="B11" s="60"/>
      <c r="K11" s="62"/>
      <c r="L11" s="26" t="s">
        <v>16</v>
      </c>
      <c r="M11" s="57"/>
      <c r="N11" s="69"/>
      <c r="O11" s="71"/>
      <c r="P11" s="73"/>
      <c r="Q11" s="73"/>
      <c r="R11" s="73"/>
      <c r="S11" s="73"/>
      <c r="T11" s="73"/>
    </row>
    <row r="12" spans="2:20" ht="19.5" customHeight="1" x14ac:dyDescent="0.2">
      <c r="B12" s="69"/>
      <c r="C12" s="70"/>
      <c r="D12" s="71"/>
      <c r="E12" s="71"/>
      <c r="F12" s="71"/>
      <c r="G12" s="70"/>
      <c r="H12" s="72"/>
      <c r="I12" s="72"/>
      <c r="J12" s="73">
        <f>E12*H12*I12</f>
        <v>0</v>
      </c>
      <c r="K12" s="77"/>
      <c r="M12" s="57"/>
      <c r="N12" s="198" t="s">
        <v>141</v>
      </c>
      <c r="O12" s="199"/>
      <c r="P12" s="200"/>
      <c r="Q12" s="74">
        <f>SUM(Q8:Q11)</f>
        <v>625560</v>
      </c>
      <c r="R12" s="74">
        <f>SUM(R8:R11)</f>
        <v>558535.7142857142</v>
      </c>
      <c r="S12" s="74">
        <f>SUM(S8:S11)</f>
        <v>5585.3571428571422</v>
      </c>
      <c r="T12" s="74">
        <f>SUM(T8:T11)</f>
        <v>619974.64285714284</v>
      </c>
    </row>
    <row r="13" spans="2:20" ht="20.100000000000001" customHeight="1" x14ac:dyDescent="0.2">
      <c r="B13" s="63"/>
      <c r="C13" s="64"/>
      <c r="D13" s="65"/>
      <c r="E13" s="71"/>
      <c r="F13" s="71"/>
      <c r="G13" s="70"/>
      <c r="H13" s="72"/>
      <c r="I13" s="72"/>
      <c r="J13" s="73">
        <f t="shared" ref="J13:J14" si="1">E13*H13*I13</f>
        <v>0</v>
      </c>
      <c r="K13" s="77"/>
    </row>
    <row r="14" spans="2:20" ht="20.100000000000001" customHeight="1" x14ac:dyDescent="0.2">
      <c r="B14" s="63"/>
      <c r="C14" s="64"/>
      <c r="D14" s="65"/>
      <c r="E14" s="71"/>
      <c r="F14" s="71"/>
      <c r="G14" s="70"/>
      <c r="H14" s="72"/>
      <c r="I14" s="72"/>
      <c r="J14" s="73">
        <f t="shared" si="1"/>
        <v>0</v>
      </c>
      <c r="K14" s="78">
        <f>SUM(J12:J14)</f>
        <v>0</v>
      </c>
      <c r="P14" s="29" t="s">
        <v>143</v>
      </c>
      <c r="Q14" s="57">
        <f>Q12</f>
        <v>625560</v>
      </c>
    </row>
    <row r="15" spans="2:20" ht="20.100000000000001" customHeight="1" x14ac:dyDescent="0.2">
      <c r="B15" s="60"/>
      <c r="K15" s="61"/>
      <c r="M15" s="57"/>
      <c r="P15" s="29" t="s">
        <v>144</v>
      </c>
      <c r="Q15" s="57">
        <v>625560</v>
      </c>
    </row>
    <row r="16" spans="2:20" ht="20.100000000000001" hidden="1" customHeight="1" x14ac:dyDescent="0.2">
      <c r="B16" s="69"/>
      <c r="C16" s="70"/>
      <c r="D16" s="71"/>
      <c r="E16" s="71"/>
      <c r="F16" s="71"/>
      <c r="G16" s="70"/>
      <c r="H16" s="72"/>
      <c r="I16" s="72">
        <v>12</v>
      </c>
      <c r="J16" s="73">
        <f t="shared" ref="J16:J21" si="2">E16*H16*I16</f>
        <v>0</v>
      </c>
      <c r="K16" s="77"/>
      <c r="Q16" s="180">
        <f>Q14/Q15</f>
        <v>1</v>
      </c>
    </row>
    <row r="17" spans="2:11" ht="20.100000000000001" hidden="1" customHeight="1" x14ac:dyDescent="0.2">
      <c r="B17" s="63"/>
      <c r="C17" s="64"/>
      <c r="D17" s="65"/>
      <c r="E17" s="71"/>
      <c r="F17" s="71"/>
      <c r="G17" s="70"/>
      <c r="H17" s="72"/>
      <c r="I17" s="72">
        <v>24</v>
      </c>
      <c r="J17" s="73">
        <f t="shared" si="2"/>
        <v>0</v>
      </c>
      <c r="K17" s="77"/>
    </row>
    <row r="18" spans="2:11" ht="20.100000000000001" hidden="1" customHeight="1" x14ac:dyDescent="0.2">
      <c r="B18" s="63"/>
      <c r="C18" s="64"/>
      <c r="D18" s="65"/>
      <c r="E18" s="71"/>
      <c r="F18" s="71"/>
      <c r="G18" s="70"/>
      <c r="H18" s="72"/>
      <c r="I18" s="72">
        <v>36</v>
      </c>
      <c r="J18" s="73">
        <f t="shared" si="2"/>
        <v>0</v>
      </c>
      <c r="K18" s="77"/>
    </row>
    <row r="19" spans="2:11" ht="20.100000000000001" hidden="1" customHeight="1" x14ac:dyDescent="0.2">
      <c r="B19" s="63"/>
      <c r="C19" s="64"/>
      <c r="D19" s="65"/>
      <c r="E19" s="71"/>
      <c r="F19" s="71"/>
      <c r="G19" s="70"/>
      <c r="H19" s="72"/>
      <c r="I19" s="72">
        <v>12</v>
      </c>
      <c r="J19" s="73">
        <f t="shared" si="2"/>
        <v>0</v>
      </c>
      <c r="K19" s="77"/>
    </row>
    <row r="20" spans="2:11" ht="20.100000000000001" hidden="1" customHeight="1" x14ac:dyDescent="0.2">
      <c r="B20" s="63"/>
      <c r="C20" s="64"/>
      <c r="D20" s="65"/>
      <c r="E20" s="71"/>
      <c r="F20" s="71"/>
      <c r="G20" s="70"/>
      <c r="H20" s="72"/>
      <c r="I20" s="72">
        <v>24</v>
      </c>
      <c r="J20" s="73">
        <f t="shared" si="2"/>
        <v>0</v>
      </c>
      <c r="K20" s="77"/>
    </row>
    <row r="21" spans="2:11" ht="20.100000000000001" hidden="1" customHeight="1" x14ac:dyDescent="0.2">
      <c r="B21" s="63"/>
      <c r="C21" s="64"/>
      <c r="D21" s="65"/>
      <c r="E21" s="71"/>
      <c r="F21" s="71"/>
      <c r="G21" s="70"/>
      <c r="H21" s="72"/>
      <c r="I21" s="72">
        <v>36</v>
      </c>
      <c r="J21" s="73">
        <f t="shared" si="2"/>
        <v>0</v>
      </c>
      <c r="K21" s="78">
        <f>SUM(J16:J21)</f>
        <v>0</v>
      </c>
    </row>
    <row r="22" spans="2:11" ht="20.100000000000001" hidden="1" customHeight="1" x14ac:dyDescent="0.2">
      <c r="B22" s="60"/>
      <c r="K22" s="61"/>
    </row>
    <row r="23" spans="2:11" ht="20.100000000000001" hidden="1" customHeight="1" x14ac:dyDescent="0.2">
      <c r="B23" s="69"/>
      <c r="C23" s="70"/>
      <c r="D23" s="71"/>
      <c r="E23" s="71"/>
      <c r="F23" s="71"/>
      <c r="G23" s="147"/>
      <c r="H23" s="72"/>
      <c r="I23" s="72">
        <v>12</v>
      </c>
      <c r="J23" s="73">
        <f t="shared" ref="J23:J24" si="3">E23*H23*I23</f>
        <v>0</v>
      </c>
      <c r="K23" s="77"/>
    </row>
    <row r="24" spans="2:11" ht="20.100000000000001" hidden="1" customHeight="1" x14ac:dyDescent="0.2">
      <c r="B24" s="63"/>
      <c r="C24" s="64"/>
      <c r="D24" s="65"/>
      <c r="E24" s="71"/>
      <c r="F24" s="71"/>
      <c r="G24" s="70"/>
      <c r="H24" s="72"/>
      <c r="I24" s="72">
        <v>12</v>
      </c>
      <c r="J24" s="73">
        <f t="shared" si="3"/>
        <v>0</v>
      </c>
      <c r="K24" s="78">
        <f>SUM(J23:J24)</f>
        <v>0</v>
      </c>
    </row>
    <row r="25" spans="2:11" ht="20.100000000000001" hidden="1" customHeight="1" x14ac:dyDescent="0.2">
      <c r="B25" s="60"/>
      <c r="K25" s="61"/>
    </row>
    <row r="26" spans="2:11" ht="20.100000000000001" hidden="1" customHeight="1" x14ac:dyDescent="0.2">
      <c r="B26" s="69"/>
      <c r="C26" s="70"/>
      <c r="D26" s="71"/>
      <c r="E26" s="71"/>
      <c r="F26" s="71"/>
      <c r="G26" s="70"/>
      <c r="H26" s="72"/>
      <c r="I26" s="72">
        <v>12</v>
      </c>
      <c r="J26" s="73">
        <f t="shared" ref="J26" si="4">E26*H26*I26</f>
        <v>0</v>
      </c>
      <c r="K26" s="74">
        <f>J26</f>
        <v>0</v>
      </c>
    </row>
    <row r="27" spans="2:11" ht="20.100000000000001" hidden="1" customHeight="1" x14ac:dyDescent="0.2">
      <c r="B27" s="60"/>
      <c r="K27" s="61"/>
    </row>
    <row r="28" spans="2:11" ht="20.100000000000001" hidden="1" customHeight="1" x14ac:dyDescent="0.2">
      <c r="B28" s="69"/>
      <c r="C28" s="70"/>
      <c r="D28" s="71"/>
      <c r="E28" s="71"/>
      <c r="F28" s="71"/>
      <c r="G28" s="70"/>
      <c r="H28" s="72"/>
      <c r="I28" s="72">
        <v>12</v>
      </c>
      <c r="J28" s="138">
        <f t="shared" ref="J28" si="5">E28*H28*I28</f>
        <v>0</v>
      </c>
      <c r="K28" s="74">
        <f>SUM(J28:J28)</f>
        <v>0</v>
      </c>
    </row>
    <row r="29" spans="2:11" ht="20.100000000000001" hidden="1" customHeight="1" x14ac:dyDescent="0.2">
      <c r="B29" s="60"/>
      <c r="K29" s="61"/>
    </row>
    <row r="30" spans="2:11" ht="20.100000000000001" hidden="1" customHeight="1" x14ac:dyDescent="0.2">
      <c r="B30" s="69"/>
      <c r="C30" s="70"/>
      <c r="D30" s="71"/>
      <c r="E30" s="71"/>
      <c r="F30" s="71"/>
      <c r="G30" s="147"/>
      <c r="H30" s="72"/>
      <c r="I30" s="72">
        <v>24</v>
      </c>
      <c r="J30" s="73">
        <f>E30*H30*I30</f>
        <v>0</v>
      </c>
      <c r="K30" s="77"/>
    </row>
    <row r="31" spans="2:11" ht="20.100000000000001" hidden="1" customHeight="1" x14ac:dyDescent="0.2">
      <c r="B31" s="63"/>
      <c r="C31" s="64"/>
      <c r="D31" s="65"/>
      <c r="E31" s="71"/>
      <c r="F31" s="71"/>
      <c r="G31" s="70"/>
      <c r="H31" s="72"/>
      <c r="I31" s="72">
        <v>200</v>
      </c>
      <c r="J31" s="73">
        <f t="shared" ref="J31:J33" si="6">E31*H31*I31</f>
        <v>0</v>
      </c>
      <c r="K31" s="77"/>
    </row>
    <row r="32" spans="2:11" ht="20.100000000000001" hidden="1" customHeight="1" x14ac:dyDescent="0.2">
      <c r="B32" s="63"/>
      <c r="C32" s="64"/>
      <c r="D32" s="65"/>
      <c r="E32" s="71"/>
      <c r="F32" s="71"/>
      <c r="G32" s="70"/>
      <c r="H32" s="72"/>
      <c r="I32" s="72">
        <v>12</v>
      </c>
      <c r="J32" s="73">
        <f t="shared" si="6"/>
        <v>0</v>
      </c>
      <c r="K32" s="77"/>
    </row>
    <row r="33" spans="2:17" ht="20.100000000000001" hidden="1" customHeight="1" x14ac:dyDescent="0.2">
      <c r="B33" s="63"/>
      <c r="C33" s="64"/>
      <c r="D33" s="65"/>
      <c r="E33" s="71"/>
      <c r="F33" s="71"/>
      <c r="G33" s="70"/>
      <c r="H33" s="72"/>
      <c r="I33" s="72">
        <v>6</v>
      </c>
      <c r="J33" s="73">
        <f t="shared" si="6"/>
        <v>0</v>
      </c>
      <c r="K33" s="78">
        <f>SUM(J30:J33)</f>
        <v>0</v>
      </c>
    </row>
    <row r="34" spans="2:17" ht="20.100000000000001" hidden="1" customHeight="1" x14ac:dyDescent="0.2">
      <c r="B34" s="60"/>
      <c r="K34" s="61"/>
    </row>
    <row r="35" spans="2:17" ht="20.100000000000001" hidden="1" customHeight="1" x14ac:dyDescent="0.2">
      <c r="B35" s="69"/>
      <c r="C35" s="70"/>
      <c r="D35" s="71"/>
      <c r="E35" s="71"/>
      <c r="F35" s="71"/>
      <c r="G35" s="70"/>
      <c r="H35" s="72"/>
      <c r="I35" s="72">
        <v>12</v>
      </c>
      <c r="J35" s="73">
        <f>E35*H35*I35</f>
        <v>0</v>
      </c>
      <c r="K35" s="77"/>
    </row>
    <row r="36" spans="2:17" ht="20.100000000000001" hidden="1" customHeight="1" x14ac:dyDescent="0.2">
      <c r="B36" s="63"/>
      <c r="C36" s="64"/>
      <c r="D36" s="65"/>
      <c r="E36" s="71"/>
      <c r="F36" s="71"/>
      <c r="G36" s="70"/>
      <c r="H36" s="72"/>
      <c r="I36" s="72">
        <v>6</v>
      </c>
      <c r="J36" s="73">
        <f t="shared" ref="J36:J37" si="7">E36*H36*I36</f>
        <v>0</v>
      </c>
      <c r="K36" s="77"/>
    </row>
    <row r="37" spans="2:17" ht="20.100000000000001" hidden="1" customHeight="1" x14ac:dyDescent="0.2">
      <c r="B37" s="63"/>
      <c r="C37" s="64"/>
      <c r="D37" s="65"/>
      <c r="E37" s="71"/>
      <c r="F37" s="71"/>
      <c r="G37" s="147"/>
      <c r="H37" s="72"/>
      <c r="I37" s="72">
        <v>6</v>
      </c>
      <c r="J37" s="73">
        <f t="shared" si="7"/>
        <v>0</v>
      </c>
      <c r="K37" s="78">
        <f>SUM(J35:J37)</f>
        <v>0</v>
      </c>
    </row>
    <row r="38" spans="2:17" ht="20.100000000000001" hidden="1" customHeight="1" x14ac:dyDescent="0.2">
      <c r="B38" s="60"/>
      <c r="K38" s="61"/>
    </row>
    <row r="39" spans="2:17" ht="20.100000000000001" customHeight="1" thickBot="1" x14ac:dyDescent="0.25">
      <c r="B39" s="79"/>
      <c r="C39" s="80"/>
      <c r="D39" s="81"/>
      <c r="E39" s="81"/>
      <c r="F39" s="81"/>
      <c r="G39" s="80"/>
      <c r="H39" s="82"/>
      <c r="I39" s="83" t="s">
        <v>115</v>
      </c>
      <c r="J39" s="90">
        <f>SUM(J7:J38)</f>
        <v>625560</v>
      </c>
      <c r="K39" s="78">
        <f>J39-K8-K10-K14-K21-K26-K24-K33-K37-K28</f>
        <v>0</v>
      </c>
    </row>
    <row r="40" spans="2:17" ht="20.100000000000001" customHeight="1" thickTop="1" x14ac:dyDescent="0.2">
      <c r="O40" s="57"/>
    </row>
    <row r="41" spans="2:17" ht="20.100000000000001" customHeight="1" x14ac:dyDescent="0.2">
      <c r="O41" s="137"/>
      <c r="Q41" s="137"/>
    </row>
    <row r="42" spans="2:17" ht="20.100000000000001" customHeight="1" x14ac:dyDescent="0.2">
      <c r="B42" s="59" t="s">
        <v>25</v>
      </c>
      <c r="F42" s="28" t="s">
        <v>26</v>
      </c>
    </row>
    <row r="43" spans="2:17" ht="20.100000000000001" customHeight="1" x14ac:dyDescent="0.2">
      <c r="C43" s="26" t="s">
        <v>27</v>
      </c>
      <c r="G43" s="26" t="s">
        <v>35</v>
      </c>
    </row>
    <row r="45" spans="2:17" ht="20.100000000000001" customHeight="1" x14ac:dyDescent="0.2">
      <c r="J45" s="145"/>
    </row>
    <row r="48" spans="2:17" ht="20.100000000000001" customHeight="1" x14ac:dyDescent="0.2">
      <c r="B48" s="84" t="s">
        <v>23</v>
      </c>
    </row>
    <row r="49" spans="1:15" ht="20.100000000000001" customHeight="1" x14ac:dyDescent="0.2">
      <c r="B49" s="84" t="s">
        <v>1</v>
      </c>
    </row>
    <row r="50" spans="1:15" ht="20.100000000000001" customHeight="1" x14ac:dyDescent="0.2">
      <c r="B50" s="84" t="s">
        <v>163</v>
      </c>
    </row>
    <row r="52" spans="1:15" ht="20.100000000000001" customHeight="1" x14ac:dyDescent="0.2">
      <c r="B52" s="66" t="s">
        <v>2</v>
      </c>
      <c r="C52" s="67" t="s">
        <v>3</v>
      </c>
      <c r="D52" s="67" t="s">
        <v>4</v>
      </c>
      <c r="E52" s="67" t="s">
        <v>21</v>
      </c>
      <c r="F52" s="67" t="s">
        <v>6</v>
      </c>
      <c r="G52" s="67" t="s">
        <v>7</v>
      </c>
      <c r="H52" s="68" t="s">
        <v>8</v>
      </c>
      <c r="I52" s="68" t="s">
        <v>9</v>
      </c>
      <c r="J52" s="68" t="s">
        <v>10</v>
      </c>
      <c r="K52" s="68" t="s">
        <v>22</v>
      </c>
    </row>
    <row r="53" spans="1:15" ht="20.100000000000001" customHeight="1" x14ac:dyDescent="0.2">
      <c r="B53" s="60"/>
      <c r="K53" s="61"/>
    </row>
    <row r="54" spans="1:15" ht="18.75" customHeight="1" x14ac:dyDescent="0.2">
      <c r="A54" s="29"/>
      <c r="B54" s="69"/>
      <c r="C54" s="70"/>
      <c r="D54" s="71"/>
      <c r="E54" s="71"/>
      <c r="F54" s="71"/>
      <c r="G54" s="70"/>
      <c r="H54" s="72"/>
      <c r="I54" s="72"/>
      <c r="J54" s="138">
        <f>E54*H54*I54</f>
        <v>0</v>
      </c>
      <c r="K54" s="74">
        <f>SUM(J54)</f>
        <v>0</v>
      </c>
    </row>
    <row r="55" spans="1:15" ht="18.75" customHeight="1" x14ac:dyDescent="0.2">
      <c r="A55" s="29"/>
      <c r="B55" s="60"/>
      <c r="K55" s="61"/>
      <c r="N55" s="57"/>
    </row>
    <row r="56" spans="1:15" ht="20.100000000000001" customHeight="1" x14ac:dyDescent="0.2">
      <c r="B56" s="69"/>
      <c r="C56" s="70"/>
      <c r="D56" s="71"/>
      <c r="E56" s="71"/>
      <c r="F56" s="71"/>
      <c r="G56" s="70"/>
      <c r="H56" s="72"/>
      <c r="I56" s="86"/>
      <c r="J56" s="138">
        <f>E56*H56*I56</f>
        <v>0</v>
      </c>
      <c r="K56" s="77"/>
    </row>
    <row r="57" spans="1:15" ht="20.100000000000001" customHeight="1" x14ac:dyDescent="0.2">
      <c r="B57" s="63"/>
      <c r="C57" s="64"/>
      <c r="D57" s="65"/>
      <c r="E57" s="71"/>
      <c r="F57" s="71"/>
      <c r="G57" s="70"/>
      <c r="H57" s="72"/>
      <c r="I57" s="139"/>
      <c r="J57" s="138">
        <f>E57*H57*I57</f>
        <v>0</v>
      </c>
      <c r="K57" s="74">
        <f>SUM(J56:J57)</f>
        <v>0</v>
      </c>
    </row>
    <row r="58" spans="1:15" ht="20.100000000000001" customHeight="1" x14ac:dyDescent="0.2">
      <c r="B58" s="60"/>
      <c r="H58" s="150"/>
      <c r="I58" s="150"/>
      <c r="J58" s="96"/>
      <c r="K58" s="62"/>
      <c r="M58" s="57"/>
    </row>
    <row r="59" spans="1:15" ht="20.100000000000001" customHeight="1" x14ac:dyDescent="0.2">
      <c r="B59" s="69"/>
      <c r="C59" s="70"/>
      <c r="D59" s="71"/>
      <c r="E59" s="71"/>
      <c r="F59" s="71"/>
      <c r="G59" s="70"/>
      <c r="H59" s="72"/>
      <c r="I59" s="72"/>
      <c r="J59" s="138">
        <f>E59*H59*I59</f>
        <v>0</v>
      </c>
      <c r="K59" s="74">
        <f>SUM(J59)</f>
        <v>0</v>
      </c>
      <c r="M59" s="57"/>
    </row>
    <row r="60" spans="1:15" ht="20.100000000000001" customHeight="1" x14ac:dyDescent="0.2">
      <c r="B60" s="60"/>
      <c r="K60" s="61"/>
      <c r="M60" s="57"/>
    </row>
    <row r="61" spans="1:15" ht="20.100000000000001" customHeight="1" thickBot="1" x14ac:dyDescent="0.25">
      <c r="B61" s="79"/>
      <c r="C61" s="80"/>
      <c r="D61" s="81"/>
      <c r="E61" s="81"/>
      <c r="F61" s="81"/>
      <c r="G61" s="80"/>
      <c r="H61" s="82"/>
      <c r="I61" s="83" t="s">
        <v>114</v>
      </c>
      <c r="J61" s="90">
        <f>SUM(J53:J60)</f>
        <v>0</v>
      </c>
      <c r="K61" s="78">
        <f>J61-K57-K54-K59</f>
        <v>0</v>
      </c>
    </row>
    <row r="62" spans="1:15" ht="20.100000000000001" customHeight="1" thickTop="1" x14ac:dyDescent="0.2">
      <c r="J62" s="57">
        <f>K8+K14+K54+K21+K24+K57+K59+K33+K37+K10</f>
        <v>625560</v>
      </c>
    </row>
    <row r="63" spans="1:15" ht="20.100000000000001" customHeight="1" x14ac:dyDescent="0.2">
      <c r="J63" s="57">
        <f>J62*0.6</f>
        <v>375336</v>
      </c>
    </row>
    <row r="64" spans="1:15" ht="20.100000000000001" customHeight="1" x14ac:dyDescent="0.2">
      <c r="M64" s="57"/>
      <c r="N64" s="57"/>
      <c r="O64" s="57"/>
    </row>
    <row r="65" spans="1:17" ht="20.100000000000001" customHeight="1" x14ac:dyDescent="0.2">
      <c r="B65" s="59" t="s">
        <v>25</v>
      </c>
      <c r="F65" s="28" t="s">
        <v>26</v>
      </c>
      <c r="N65" s="57"/>
    </row>
    <row r="66" spans="1:17" ht="20.100000000000001" customHeight="1" x14ac:dyDescent="0.2">
      <c r="C66" s="26" t="s">
        <v>27</v>
      </c>
      <c r="G66" s="26" t="s">
        <v>35</v>
      </c>
    </row>
    <row r="67" spans="1:17" s="58" customFormat="1" ht="20.100000000000001" customHeight="1" x14ac:dyDescent="0.2">
      <c r="A67" s="26"/>
      <c r="B67" s="59"/>
      <c r="C67" s="26"/>
      <c r="D67" s="29"/>
      <c r="E67" s="29"/>
      <c r="F67" s="29"/>
      <c r="G67" s="26"/>
      <c r="J67" s="57"/>
      <c r="K67" s="57"/>
      <c r="L67" s="26"/>
      <c r="M67" s="26"/>
      <c r="N67" s="26"/>
      <c r="O67" s="26"/>
      <c r="P67" s="26"/>
      <c r="Q67" s="26"/>
    </row>
    <row r="69" spans="1:17" ht="20.100000000000001" customHeight="1" x14ac:dyDescent="0.2">
      <c r="O69" s="57"/>
    </row>
  </sheetData>
  <mergeCells count="1">
    <mergeCell ref="N12:P12"/>
  </mergeCells>
  <printOptions gridLines="1"/>
  <pageMargins left="0.7" right="0.7" top="0.75" bottom="0.75" header="0.3" footer="0.3"/>
  <pageSetup scale="49" fitToHeight="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4F28-03D9-409A-A097-DB3D7902D7AC}">
  <sheetPr codeName="Sheet14"/>
  <dimension ref="B3:L36"/>
  <sheetViews>
    <sheetView workbookViewId="0">
      <selection activeCell="K24" sqref="K24"/>
    </sheetView>
  </sheetViews>
  <sheetFormatPr defaultRowHeight="20.100000000000001" customHeight="1" x14ac:dyDescent="0.2"/>
  <cols>
    <col min="1" max="1" width="9.140625" style="108"/>
    <col min="2" max="2" width="9.42578125" style="103" bestFit="1" customWidth="1"/>
    <col min="3" max="3" width="14" style="122" bestFit="1" customWidth="1"/>
    <col min="4" max="4" width="11.7109375" style="108" bestFit="1" customWidth="1"/>
    <col min="5" max="5" width="11.28515625" style="103" bestFit="1" customWidth="1"/>
    <col min="6" max="6" width="9.42578125" style="103" bestFit="1" customWidth="1"/>
    <col min="7" max="7" width="10.28515625" style="103" bestFit="1" customWidth="1"/>
    <col min="8" max="8" width="47.5703125" style="108" bestFit="1" customWidth="1"/>
    <col min="9" max="9" width="12" style="135" bestFit="1" customWidth="1"/>
    <col min="10" max="10" width="14" style="129" bestFit="1" customWidth="1"/>
    <col min="11" max="11" width="12.28515625" style="103" bestFit="1" customWidth="1"/>
    <col min="12" max="12" width="14" style="108" bestFit="1" customWidth="1"/>
    <col min="13" max="16384" width="9.140625" style="108"/>
  </cols>
  <sheetData>
    <row r="3" spans="2:12" s="103" customFormat="1" ht="20.100000000000001" customHeight="1" x14ac:dyDescent="0.2">
      <c r="B3" s="101" t="s">
        <v>37</v>
      </c>
      <c r="C3" s="102" t="s">
        <v>2</v>
      </c>
      <c r="D3" s="101" t="s">
        <v>3</v>
      </c>
      <c r="E3" s="101" t="s">
        <v>4</v>
      </c>
      <c r="F3" s="101" t="s">
        <v>21</v>
      </c>
      <c r="G3" s="101" t="s">
        <v>6</v>
      </c>
      <c r="H3" s="101" t="s">
        <v>7</v>
      </c>
      <c r="I3" s="130" t="s">
        <v>54</v>
      </c>
      <c r="J3" s="124" t="s">
        <v>10</v>
      </c>
      <c r="K3" s="101" t="s">
        <v>38</v>
      </c>
    </row>
    <row r="4" spans="2:12" ht="20.100000000000001" customHeight="1" x14ac:dyDescent="0.2">
      <c r="B4" s="104">
        <v>1</v>
      </c>
      <c r="C4" s="105">
        <v>45126</v>
      </c>
      <c r="D4" s="106" t="s">
        <v>13</v>
      </c>
      <c r="E4" s="104" t="s">
        <v>39</v>
      </c>
      <c r="F4" s="107">
        <v>10</v>
      </c>
      <c r="G4" s="107" t="s">
        <v>12</v>
      </c>
      <c r="H4" s="106" t="s">
        <v>40</v>
      </c>
      <c r="I4" s="131">
        <v>75</v>
      </c>
      <c r="J4" s="125">
        <f>F4*I4*24</f>
        <v>18000</v>
      </c>
      <c r="K4" s="107" t="s">
        <v>41</v>
      </c>
    </row>
    <row r="5" spans="2:12" ht="20.100000000000001" customHeight="1" x14ac:dyDescent="0.2">
      <c r="B5" s="109">
        <v>2</v>
      </c>
      <c r="C5" s="110">
        <v>45127</v>
      </c>
      <c r="D5" s="111" t="s">
        <v>13</v>
      </c>
      <c r="E5" s="109" t="s">
        <v>42</v>
      </c>
      <c r="F5" s="112">
        <v>50</v>
      </c>
      <c r="G5" s="112" t="s">
        <v>12</v>
      </c>
      <c r="H5" s="111" t="s">
        <v>40</v>
      </c>
      <c r="I5" s="132">
        <v>75</v>
      </c>
      <c r="J5" s="126">
        <f>F5*I5*24</f>
        <v>90000</v>
      </c>
      <c r="K5" s="112" t="s">
        <v>41</v>
      </c>
    </row>
    <row r="6" spans="2:12" ht="20.100000000000001" customHeight="1" x14ac:dyDescent="0.2">
      <c r="B6" s="109">
        <v>3</v>
      </c>
      <c r="C6" s="110">
        <v>45135</v>
      </c>
      <c r="D6" s="111" t="s">
        <v>13</v>
      </c>
      <c r="E6" s="109" t="s">
        <v>55</v>
      </c>
      <c r="F6" s="112">
        <v>50</v>
      </c>
      <c r="G6" s="112" t="s">
        <v>12</v>
      </c>
      <c r="H6" s="111" t="s">
        <v>40</v>
      </c>
      <c r="I6" s="132">
        <v>75</v>
      </c>
      <c r="J6" s="126">
        <f>F6*I6*24</f>
        <v>90000</v>
      </c>
      <c r="K6" s="112" t="s">
        <v>57</v>
      </c>
    </row>
    <row r="7" spans="2:12" ht="20.100000000000001" customHeight="1" x14ac:dyDescent="0.2">
      <c r="B7" s="109">
        <v>4</v>
      </c>
      <c r="C7" s="110">
        <v>45135</v>
      </c>
      <c r="D7" s="111" t="s">
        <v>13</v>
      </c>
      <c r="E7" s="109" t="s">
        <v>55</v>
      </c>
      <c r="F7" s="112">
        <v>10</v>
      </c>
      <c r="G7" s="112" t="s">
        <v>12</v>
      </c>
      <c r="H7" s="111" t="s">
        <v>46</v>
      </c>
      <c r="I7" s="132">
        <v>250</v>
      </c>
      <c r="J7" s="126">
        <f>F7*I7*12</f>
        <v>30000</v>
      </c>
      <c r="K7" s="112" t="s">
        <v>49</v>
      </c>
    </row>
    <row r="8" spans="2:12" ht="20.100000000000001" customHeight="1" x14ac:dyDescent="0.2">
      <c r="B8" s="109">
        <v>5</v>
      </c>
      <c r="C8" s="110">
        <v>45141</v>
      </c>
      <c r="D8" s="111" t="s">
        <v>13</v>
      </c>
      <c r="E8" s="109" t="s">
        <v>43</v>
      </c>
      <c r="F8" s="112">
        <v>24</v>
      </c>
      <c r="G8" s="112" t="s">
        <v>12</v>
      </c>
      <c r="H8" s="111" t="s">
        <v>40</v>
      </c>
      <c r="I8" s="132">
        <v>75</v>
      </c>
      <c r="J8" s="126">
        <f>F8*I8*24</f>
        <v>43200</v>
      </c>
      <c r="K8" s="112" t="s">
        <v>41</v>
      </c>
    </row>
    <row r="9" spans="2:12" ht="20.100000000000001" customHeight="1" x14ac:dyDescent="0.2">
      <c r="B9" s="109">
        <v>6</v>
      </c>
      <c r="C9" s="110">
        <v>45153</v>
      </c>
      <c r="D9" s="111" t="s">
        <v>13</v>
      </c>
      <c r="E9" s="109" t="s">
        <v>44</v>
      </c>
      <c r="F9" s="112">
        <v>28</v>
      </c>
      <c r="G9" s="112" t="s">
        <v>12</v>
      </c>
      <c r="H9" s="111" t="s">
        <v>46</v>
      </c>
      <c r="I9" s="132">
        <v>250</v>
      </c>
      <c r="J9" s="126">
        <f>F9*I9*12</f>
        <v>84000</v>
      </c>
      <c r="K9" s="112" t="s">
        <v>49</v>
      </c>
    </row>
    <row r="10" spans="2:12" ht="20.100000000000001" customHeight="1" x14ac:dyDescent="0.2">
      <c r="B10" s="109">
        <v>7</v>
      </c>
      <c r="C10" s="110">
        <v>45153</v>
      </c>
      <c r="D10" s="111" t="s">
        <v>13</v>
      </c>
      <c r="E10" s="109" t="s">
        <v>44</v>
      </c>
      <c r="F10" s="112">
        <v>4</v>
      </c>
      <c r="G10" s="112" t="s">
        <v>45</v>
      </c>
      <c r="H10" s="111" t="s">
        <v>47</v>
      </c>
      <c r="I10" s="132">
        <v>250</v>
      </c>
      <c r="J10" s="126">
        <f>F10*I10</f>
        <v>1000</v>
      </c>
      <c r="K10" s="112" t="s">
        <v>49</v>
      </c>
    </row>
    <row r="11" spans="2:12" ht="20.100000000000001" customHeight="1" x14ac:dyDescent="0.2">
      <c r="B11" s="109">
        <v>8</v>
      </c>
      <c r="C11" s="110">
        <v>45153</v>
      </c>
      <c r="D11" s="111" t="s">
        <v>13</v>
      </c>
      <c r="E11" s="109" t="s">
        <v>44</v>
      </c>
      <c r="F11" s="112">
        <v>62</v>
      </c>
      <c r="G11" s="112" t="s">
        <v>12</v>
      </c>
      <c r="H11" s="111" t="s">
        <v>48</v>
      </c>
      <c r="I11" s="132">
        <v>75</v>
      </c>
      <c r="J11" s="126">
        <f>F11*I11*24</f>
        <v>111600</v>
      </c>
      <c r="K11" s="112" t="s">
        <v>50</v>
      </c>
    </row>
    <row r="12" spans="2:12" ht="20.100000000000001" customHeight="1" x14ac:dyDescent="0.2">
      <c r="B12" s="109">
        <v>9</v>
      </c>
      <c r="C12" s="110">
        <v>45177</v>
      </c>
      <c r="D12" s="111" t="s">
        <v>13</v>
      </c>
      <c r="E12" s="109" t="s">
        <v>51</v>
      </c>
      <c r="F12" s="112">
        <v>11</v>
      </c>
      <c r="G12" s="112" t="s">
        <v>12</v>
      </c>
      <c r="H12" s="111" t="s">
        <v>46</v>
      </c>
      <c r="I12" s="132">
        <v>250</v>
      </c>
      <c r="J12" s="126">
        <f>F12*I12*12</f>
        <v>33000</v>
      </c>
      <c r="K12" s="112" t="s">
        <v>52</v>
      </c>
    </row>
    <row r="13" spans="2:12" ht="20.100000000000001" customHeight="1" x14ac:dyDescent="0.2">
      <c r="B13" s="109">
        <v>10</v>
      </c>
      <c r="C13" s="110">
        <v>45177</v>
      </c>
      <c r="D13" s="111" t="s">
        <v>13</v>
      </c>
      <c r="E13" s="109" t="s">
        <v>53</v>
      </c>
      <c r="F13" s="112">
        <v>132</v>
      </c>
      <c r="G13" s="112" t="s">
        <v>12</v>
      </c>
      <c r="H13" s="111" t="s">
        <v>40</v>
      </c>
      <c r="I13" s="132">
        <v>75</v>
      </c>
      <c r="J13" s="126">
        <f>F13*I13*24</f>
        <v>237600</v>
      </c>
      <c r="K13" s="112" t="s">
        <v>50</v>
      </c>
    </row>
    <row r="14" spans="2:12" ht="20.100000000000001" customHeight="1" x14ac:dyDescent="0.2">
      <c r="B14" s="109">
        <v>11</v>
      </c>
      <c r="C14" s="110"/>
      <c r="D14" s="111"/>
      <c r="E14" s="109"/>
      <c r="F14" s="112">
        <v>7</v>
      </c>
      <c r="G14" s="112" t="s">
        <v>56</v>
      </c>
      <c r="H14" s="111" t="s">
        <v>40</v>
      </c>
      <c r="I14" s="132">
        <v>75</v>
      </c>
      <c r="J14" s="126">
        <f>F14*I14</f>
        <v>525</v>
      </c>
      <c r="K14" s="112" t="s">
        <v>50</v>
      </c>
      <c r="L14" s="129">
        <f>SUM(J4:J14)</f>
        <v>738925</v>
      </c>
    </row>
    <row r="15" spans="2:12" ht="20.100000000000001" customHeight="1" x14ac:dyDescent="0.2">
      <c r="B15" s="109">
        <v>12</v>
      </c>
      <c r="C15" s="110">
        <v>45208</v>
      </c>
      <c r="D15" s="111" t="s">
        <v>13</v>
      </c>
      <c r="E15" s="109" t="s">
        <v>58</v>
      </c>
      <c r="F15" s="112">
        <v>11</v>
      </c>
      <c r="G15" s="112" t="s">
        <v>12</v>
      </c>
      <c r="H15" s="111" t="s">
        <v>46</v>
      </c>
      <c r="I15" s="132">
        <v>250</v>
      </c>
      <c r="J15" s="126">
        <f>F15*I15*12</f>
        <v>33000</v>
      </c>
      <c r="K15" s="112" t="s">
        <v>59</v>
      </c>
    </row>
    <row r="16" spans="2:12" ht="20.100000000000001" customHeight="1" x14ac:dyDescent="0.2">
      <c r="B16" s="109">
        <v>13</v>
      </c>
      <c r="C16" s="110">
        <v>45225</v>
      </c>
      <c r="D16" s="111" t="s">
        <v>13</v>
      </c>
      <c r="E16" s="109" t="s">
        <v>61</v>
      </c>
      <c r="F16" s="112">
        <v>20</v>
      </c>
      <c r="G16" s="112" t="s">
        <v>12</v>
      </c>
      <c r="H16" s="111" t="s">
        <v>62</v>
      </c>
      <c r="I16" s="132">
        <v>250</v>
      </c>
      <c r="J16" s="126">
        <f>F16*I16*12</f>
        <v>60000</v>
      </c>
      <c r="K16" s="112" t="s">
        <v>63</v>
      </c>
    </row>
    <row r="17" spans="2:11" ht="20.100000000000001" customHeight="1" x14ac:dyDescent="0.2">
      <c r="B17" s="109">
        <v>14</v>
      </c>
      <c r="C17" s="110">
        <v>45254</v>
      </c>
      <c r="D17" s="111" t="s">
        <v>13</v>
      </c>
      <c r="E17" s="109" t="s">
        <v>64</v>
      </c>
      <c r="F17" s="112">
        <v>10</v>
      </c>
      <c r="G17" s="112" t="s">
        <v>12</v>
      </c>
      <c r="H17" s="111" t="s">
        <v>62</v>
      </c>
      <c r="I17" s="132">
        <v>250</v>
      </c>
      <c r="J17" s="126">
        <f>F17*I17*12</f>
        <v>30000</v>
      </c>
      <c r="K17" s="112" t="s">
        <v>59</v>
      </c>
    </row>
    <row r="18" spans="2:11" ht="20.100000000000001" customHeight="1" x14ac:dyDescent="0.2">
      <c r="B18" s="109">
        <v>15</v>
      </c>
      <c r="C18" s="110">
        <v>45502</v>
      </c>
      <c r="D18" s="111" t="s">
        <v>13</v>
      </c>
      <c r="E18" s="109" t="s">
        <v>84</v>
      </c>
      <c r="F18" s="112">
        <v>3</v>
      </c>
      <c r="G18" s="112" t="s">
        <v>12</v>
      </c>
      <c r="H18" s="111" t="s">
        <v>86</v>
      </c>
      <c r="I18" s="132"/>
      <c r="J18" s="126"/>
      <c r="K18" s="112" t="s">
        <v>85</v>
      </c>
    </row>
    <row r="19" spans="2:11" ht="20.100000000000001" customHeight="1" x14ac:dyDescent="0.2">
      <c r="B19" s="109">
        <v>16</v>
      </c>
      <c r="C19" s="110"/>
      <c r="D19" s="111"/>
      <c r="E19" s="109"/>
      <c r="F19" s="112">
        <v>1</v>
      </c>
      <c r="G19" s="112" t="s">
        <v>45</v>
      </c>
      <c r="H19" s="111" t="s">
        <v>86</v>
      </c>
      <c r="I19" s="132"/>
      <c r="J19" s="126"/>
      <c r="K19" s="112" t="s">
        <v>85</v>
      </c>
    </row>
    <row r="20" spans="2:11" ht="20.100000000000001" customHeight="1" x14ac:dyDescent="0.2">
      <c r="B20" s="109">
        <v>17</v>
      </c>
      <c r="C20" s="110">
        <v>45547</v>
      </c>
      <c r="D20" s="111" t="s">
        <v>13</v>
      </c>
      <c r="E20" s="109" t="s">
        <v>95</v>
      </c>
      <c r="F20" s="112">
        <v>50</v>
      </c>
      <c r="G20" s="112" t="s">
        <v>12</v>
      </c>
      <c r="H20" s="111" t="s">
        <v>96</v>
      </c>
      <c r="I20" s="132"/>
      <c r="J20" s="126"/>
      <c r="K20" s="112" t="s">
        <v>97</v>
      </c>
    </row>
    <row r="21" spans="2:11" ht="20.100000000000001" customHeight="1" x14ac:dyDescent="0.2">
      <c r="B21" s="109">
        <v>18</v>
      </c>
      <c r="C21" s="110">
        <v>45582</v>
      </c>
      <c r="D21" s="111" t="s">
        <v>13</v>
      </c>
      <c r="E21" s="109" t="s">
        <v>104</v>
      </c>
      <c r="F21" s="112">
        <v>50</v>
      </c>
      <c r="G21" s="112" t="s">
        <v>12</v>
      </c>
      <c r="H21" s="111" t="s">
        <v>105</v>
      </c>
      <c r="I21" s="132"/>
      <c r="J21" s="126"/>
      <c r="K21" s="112" t="s">
        <v>107</v>
      </c>
    </row>
    <row r="22" spans="2:11" ht="20.100000000000001" customHeight="1" x14ac:dyDescent="0.2">
      <c r="B22" s="109">
        <v>19</v>
      </c>
      <c r="C22" s="110">
        <v>45593</v>
      </c>
      <c r="D22" s="111" t="s">
        <v>13</v>
      </c>
      <c r="E22" s="109" t="s">
        <v>106</v>
      </c>
      <c r="F22" s="112">
        <v>82</v>
      </c>
      <c r="G22" s="112" t="s">
        <v>12</v>
      </c>
      <c r="H22" s="111" t="s">
        <v>105</v>
      </c>
      <c r="I22" s="132"/>
      <c r="J22" s="126"/>
      <c r="K22" s="112" t="s">
        <v>107</v>
      </c>
    </row>
    <row r="23" spans="2:11" ht="20.100000000000001" customHeight="1" x14ac:dyDescent="0.2">
      <c r="B23" s="109">
        <v>20</v>
      </c>
      <c r="C23" s="110"/>
      <c r="D23" s="111"/>
      <c r="E23" s="109"/>
      <c r="F23" s="112">
        <v>45</v>
      </c>
      <c r="G23" s="112" t="s">
        <v>12</v>
      </c>
      <c r="H23" s="111" t="s">
        <v>96</v>
      </c>
      <c r="I23" s="132"/>
      <c r="J23" s="126"/>
      <c r="K23" s="112" t="s">
        <v>108</v>
      </c>
    </row>
    <row r="24" spans="2:11" ht="20.100000000000001" customHeight="1" x14ac:dyDescent="0.2">
      <c r="B24" s="109">
        <v>21</v>
      </c>
      <c r="C24" s="110"/>
      <c r="D24" s="111"/>
      <c r="E24" s="109"/>
      <c r="F24" s="112"/>
      <c r="G24" s="112"/>
      <c r="H24" s="111"/>
      <c r="I24" s="132"/>
      <c r="J24" s="126"/>
      <c r="K24" s="112"/>
    </row>
    <row r="25" spans="2:11" ht="20.100000000000001" customHeight="1" x14ac:dyDescent="0.2">
      <c r="B25" s="109">
        <v>22</v>
      </c>
      <c r="C25" s="110"/>
      <c r="D25" s="111"/>
      <c r="E25" s="109"/>
      <c r="F25" s="112"/>
      <c r="G25" s="112"/>
      <c r="H25" s="111"/>
      <c r="I25" s="132"/>
      <c r="J25" s="126"/>
      <c r="K25" s="112"/>
    </row>
    <row r="26" spans="2:11" ht="20.100000000000001" customHeight="1" x14ac:dyDescent="0.2">
      <c r="B26" s="109">
        <v>23</v>
      </c>
      <c r="C26" s="110"/>
      <c r="D26" s="111"/>
      <c r="E26" s="109"/>
      <c r="F26" s="112"/>
      <c r="G26" s="112"/>
      <c r="H26" s="111"/>
      <c r="I26" s="132"/>
      <c r="J26" s="126"/>
      <c r="K26" s="112"/>
    </row>
    <row r="27" spans="2:11" ht="20.100000000000001" customHeight="1" x14ac:dyDescent="0.2">
      <c r="B27" s="109">
        <v>24</v>
      </c>
      <c r="C27" s="110"/>
      <c r="D27" s="111"/>
      <c r="E27" s="109"/>
      <c r="F27" s="112"/>
      <c r="G27" s="112"/>
      <c r="H27" s="111"/>
      <c r="I27" s="132"/>
      <c r="J27" s="126"/>
      <c r="K27" s="112"/>
    </row>
    <row r="28" spans="2:11" ht="20.100000000000001" customHeight="1" x14ac:dyDescent="0.2">
      <c r="B28" s="109">
        <v>25</v>
      </c>
      <c r="C28" s="110"/>
      <c r="D28" s="111"/>
      <c r="E28" s="109"/>
      <c r="F28" s="112"/>
      <c r="G28" s="112"/>
      <c r="H28" s="111"/>
      <c r="I28" s="132"/>
      <c r="J28" s="126"/>
      <c r="K28" s="112"/>
    </row>
    <row r="29" spans="2:11" ht="20.100000000000001" customHeight="1" x14ac:dyDescent="0.2">
      <c r="B29" s="109">
        <v>26</v>
      </c>
      <c r="C29" s="110"/>
      <c r="D29" s="111"/>
      <c r="E29" s="109"/>
      <c r="F29" s="112"/>
      <c r="G29" s="112"/>
      <c r="H29" s="111"/>
      <c r="I29" s="132"/>
      <c r="J29" s="126"/>
      <c r="K29" s="112"/>
    </row>
    <row r="30" spans="2:11" ht="20.100000000000001" customHeight="1" x14ac:dyDescent="0.2">
      <c r="B30" s="109">
        <v>27</v>
      </c>
      <c r="C30" s="110"/>
      <c r="D30" s="111"/>
      <c r="E30" s="109"/>
      <c r="F30" s="112"/>
      <c r="G30" s="112"/>
      <c r="H30" s="111"/>
      <c r="I30" s="132"/>
      <c r="J30" s="126"/>
      <c r="K30" s="112"/>
    </row>
    <row r="31" spans="2:11" ht="20.100000000000001" customHeight="1" x14ac:dyDescent="0.2">
      <c r="B31" s="109">
        <v>28</v>
      </c>
      <c r="C31" s="110"/>
      <c r="D31" s="111"/>
      <c r="E31" s="109"/>
      <c r="F31" s="112"/>
      <c r="G31" s="112"/>
      <c r="H31" s="111"/>
      <c r="I31" s="132"/>
      <c r="J31" s="126"/>
      <c r="K31" s="112"/>
    </row>
    <row r="32" spans="2:11" ht="20.100000000000001" customHeight="1" x14ac:dyDescent="0.2">
      <c r="B32" s="109">
        <v>29</v>
      </c>
      <c r="C32" s="110"/>
      <c r="D32" s="111"/>
      <c r="E32" s="109"/>
      <c r="F32" s="112"/>
      <c r="G32" s="112"/>
      <c r="H32" s="111"/>
      <c r="I32" s="132"/>
      <c r="J32" s="126"/>
      <c r="K32" s="112"/>
    </row>
    <row r="33" spans="2:11" ht="20.100000000000001" customHeight="1" x14ac:dyDescent="0.2">
      <c r="B33" s="109">
        <v>30</v>
      </c>
      <c r="C33" s="110"/>
      <c r="D33" s="111"/>
      <c r="E33" s="109"/>
      <c r="F33" s="112"/>
      <c r="G33" s="112"/>
      <c r="H33" s="111"/>
      <c r="I33" s="132"/>
      <c r="J33" s="126"/>
      <c r="K33" s="112"/>
    </row>
    <row r="34" spans="2:11" ht="20.100000000000001" customHeight="1" x14ac:dyDescent="0.2">
      <c r="B34" s="113"/>
      <c r="C34" s="114"/>
      <c r="D34" s="115"/>
      <c r="E34" s="113"/>
      <c r="F34" s="116"/>
      <c r="G34" s="116"/>
      <c r="H34" s="115"/>
      <c r="I34" s="133"/>
      <c r="J34" s="127"/>
      <c r="K34" s="116"/>
    </row>
    <row r="35" spans="2:11" ht="20.100000000000001" customHeight="1" thickBot="1" x14ac:dyDescent="0.25">
      <c r="B35" s="117"/>
      <c r="C35" s="118"/>
      <c r="D35" s="119"/>
      <c r="E35" s="120"/>
      <c r="F35" s="123">
        <f>SUM(F4:F34)</f>
        <v>660</v>
      </c>
      <c r="G35" s="120"/>
      <c r="H35" s="119"/>
      <c r="I35" s="134"/>
      <c r="J35" s="128">
        <f>SUM(J4:J34)</f>
        <v>861925</v>
      </c>
      <c r="K35" s="121"/>
    </row>
    <row r="36" spans="2:11" ht="20.100000000000001" customHeight="1" thickTop="1" x14ac:dyDescent="0.2"/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2026 YTD</vt:lpstr>
      <vt:lpstr>JAN 26</vt:lpstr>
      <vt:lpstr>FEB 26</vt:lpstr>
      <vt:lpstr>MAR 26</vt:lpstr>
      <vt:lpstr>APR 26</vt:lpstr>
      <vt:lpstr>MAY 26</vt:lpstr>
      <vt:lpstr>JUN 26</vt:lpstr>
      <vt:lpstr>JUL 26</vt:lpstr>
      <vt:lpstr>AUG 26</vt:lpstr>
      <vt:lpstr>SEPT 25</vt:lpstr>
      <vt:lpstr>OCT 25</vt:lpstr>
      <vt:lpstr>NOV 25</vt:lpstr>
      <vt:lpstr>DEC 25</vt:lpstr>
      <vt:lpstr>TRANSMITTAL</vt:lpstr>
      <vt:lpstr>'2026 YTD'!Print_Area</vt:lpstr>
      <vt:lpstr>'APR 26'!Print_Area</vt:lpstr>
      <vt:lpstr>'AUG 26'!Print_Area</vt:lpstr>
      <vt:lpstr>'DEC 25'!Print_Area</vt:lpstr>
      <vt:lpstr>'FEB 26'!Print_Area</vt:lpstr>
      <vt:lpstr>'JAN 26'!Print_Area</vt:lpstr>
      <vt:lpstr>'JUL 26'!Print_Area</vt:lpstr>
      <vt:lpstr>'JUN 26'!Print_Area</vt:lpstr>
      <vt:lpstr>'MAR 26'!Print_Area</vt:lpstr>
      <vt:lpstr>'MAY 26'!Print_Area</vt:lpstr>
      <vt:lpstr>'NOV 25'!Print_Area</vt:lpstr>
      <vt:lpstr>'OCT 25'!Print_Area</vt:lpstr>
      <vt:lpstr>'SEPT 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SA_Jena</dc:creator>
  <cp:lastModifiedBy>acostaonin30@gmail.com</cp:lastModifiedBy>
  <cp:lastPrinted>2026-01-07T00:10:51Z</cp:lastPrinted>
  <dcterms:created xsi:type="dcterms:W3CDTF">2021-10-27T00:59:02Z</dcterms:created>
  <dcterms:modified xsi:type="dcterms:W3CDTF">2026-08-20T00:19:38Z</dcterms:modified>
</cp:coreProperties>
</file>